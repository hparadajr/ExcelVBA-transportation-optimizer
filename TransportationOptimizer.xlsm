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\Desktop\"/>
    </mc:Choice>
  </mc:AlternateContent>
  <xr:revisionPtr revIDLastSave="0" documentId="13_ncr:1_{A9B39FBC-996E-4A64-8B61-425F6B7BC683}" xr6:coauthVersionLast="47" xr6:coauthVersionMax="47" xr10:uidLastSave="{00000000-0000-0000-0000-000000000000}"/>
  <bookViews>
    <workbookView xWindow="-110" yWindow="-110" windowWidth="19420" windowHeight="11500" firstSheet="1" activeTab="1" xr2:uid="{00000000-000D-0000-FFFF-FFFF00000000}"/>
  </bookViews>
  <sheets>
    <sheet name="Solver-VBA" sheetId="4" r:id="rId1"/>
    <sheet name="EX_4Model" sheetId="10" r:id="rId2"/>
    <sheet name="Scenarios" sheetId="11" r:id="rId3"/>
    <sheet name="Results" sheetId="12" r:id="rId4"/>
  </sheets>
  <definedNames>
    <definedName name="Demand">EX_4Model!$C$18:$F$18</definedName>
    <definedName name="sencount" hidden="1">1</definedName>
    <definedName name="Shipped">EX_4Model!$C$13:$F$15</definedName>
    <definedName name="ShippedFrom">EX_4Model!$G$13:$G$15</definedName>
    <definedName name="ShippedTo">EX_4Model!$C$16:$F$16</definedName>
    <definedName name="solver_adj" localSheetId="1" hidden="1">EX_4Model!$C$13:$F$15</definedName>
    <definedName name="solver_adj" localSheetId="0" hidden="1">'Solver-VBA'!$B$5:$D$7</definedName>
    <definedName name="solver_eng" localSheetId="1" hidden="1">2</definedName>
    <definedName name="solver_eng" localSheetId="3" hidden="1">1</definedName>
    <definedName name="solver_eng" localSheetId="0" hidden="1">1</definedName>
    <definedName name="solver_itr" localSheetId="1" hidden="1">100</definedName>
    <definedName name="solver_itr" localSheetId="3" hidden="1">100</definedName>
    <definedName name="solver_lhs1" localSheetId="1" hidden="1">EX_4Model!$G$13:$G$15</definedName>
    <definedName name="solver_lhs1" localSheetId="3" hidden="1">Results!$G$13:$G$15</definedName>
    <definedName name="solver_lhs1" localSheetId="0" hidden="1">'Solver-VBA'!$F$5:$F$7</definedName>
    <definedName name="solver_lhs10" localSheetId="1" hidden="1">EX_4Model!$C$16:$F$16</definedName>
    <definedName name="solver_lhs100" localSheetId="1" hidden="1">EX_4Model!$C$16:$F$16</definedName>
    <definedName name="solver_lhs101" localSheetId="1" hidden="1">EX_4Model!$G$13:$G$15</definedName>
    <definedName name="solver_lhs102" localSheetId="1" hidden="1">EX_4Model!$C$16:$F$16</definedName>
    <definedName name="solver_lhs103" localSheetId="1" hidden="1">EX_4Model!$G$13:$G$15</definedName>
    <definedName name="solver_lhs104" localSheetId="1" hidden="1">EX_4Model!$C$16:$F$16</definedName>
    <definedName name="solver_lhs105" localSheetId="1" hidden="1">EX_4Model!$G$13:$G$15</definedName>
    <definedName name="solver_lhs106" localSheetId="1" hidden="1">EX_4Model!$C$16:$F$16</definedName>
    <definedName name="solver_lhs107" localSheetId="1" hidden="1">EX_4Model!$G$13:$G$15</definedName>
    <definedName name="solver_lhs108" localSheetId="1" hidden="1">EX_4Model!$C$16:$F$16</definedName>
    <definedName name="solver_lhs109" localSheetId="1" hidden="1">EX_4Model!$G$13:$G$15</definedName>
    <definedName name="solver_lhs11" localSheetId="1" hidden="1">EX_4Model!$G$13:$G$15</definedName>
    <definedName name="solver_lhs110" localSheetId="1" hidden="1">EX_4Model!$C$16:$F$16</definedName>
    <definedName name="solver_lhs111" localSheetId="1" hidden="1">EX_4Model!$G$13:$G$15</definedName>
    <definedName name="solver_lhs112" localSheetId="1" hidden="1">EX_4Model!$C$16:$F$16</definedName>
    <definedName name="solver_lhs113" localSheetId="1" hidden="1">EX_4Model!$G$13:$G$15</definedName>
    <definedName name="solver_lhs114" localSheetId="1" hidden="1">EX_4Model!$C$16:$F$16</definedName>
    <definedName name="solver_lhs115" localSheetId="1" hidden="1">EX_4Model!$G$13:$G$15</definedName>
    <definedName name="solver_lhs116" localSheetId="1" hidden="1">EX_4Model!$C$16:$F$16</definedName>
    <definedName name="solver_lhs117" localSheetId="1" hidden="1">EX_4Model!$G$13:$G$15</definedName>
    <definedName name="solver_lhs118" localSheetId="1" hidden="1">EX_4Model!$C$16:$F$16</definedName>
    <definedName name="solver_lhs119" localSheetId="1" hidden="1">EX_4Model!$G$13:$G$15</definedName>
    <definedName name="solver_lhs12" localSheetId="1" hidden="1">EX_4Model!$C$16:$F$16</definedName>
    <definedName name="solver_lhs120" localSheetId="1" hidden="1">EX_4Model!$C$16:$F$16</definedName>
    <definedName name="solver_lhs121" localSheetId="1" hidden="1">EX_4Model!$G$13:$G$15</definedName>
    <definedName name="solver_lhs122" localSheetId="1" hidden="1">EX_4Model!$C$16:$F$16</definedName>
    <definedName name="solver_lhs123" localSheetId="1" hidden="1">EX_4Model!$G$13:$G$15</definedName>
    <definedName name="solver_lhs124" localSheetId="1" hidden="1">EX_4Model!$C$16:$F$16</definedName>
    <definedName name="solver_lhs125" localSheetId="1" hidden="1">EX_4Model!$G$13:$G$15</definedName>
    <definedName name="solver_lhs126" localSheetId="1" hidden="1">EX_4Model!$C$16:$F$16</definedName>
    <definedName name="solver_lhs127" localSheetId="1" hidden="1">EX_4Model!$G$13:$G$15</definedName>
    <definedName name="solver_lhs128" localSheetId="1" hidden="1">EX_4Model!$C$16:$F$16</definedName>
    <definedName name="solver_lhs129" localSheetId="1" hidden="1">EX_4Model!$G$13:$G$15</definedName>
    <definedName name="solver_lhs13" localSheetId="1" hidden="1">EX_4Model!$G$13:$G$15</definedName>
    <definedName name="solver_lhs130" localSheetId="1" hidden="1">EX_4Model!$C$16:$F$16</definedName>
    <definedName name="solver_lhs131" localSheetId="1" hidden="1">EX_4Model!$G$13:$G$15</definedName>
    <definedName name="solver_lhs132" localSheetId="1" hidden="1">EX_4Model!$C$16:$F$16</definedName>
    <definedName name="solver_lhs133" localSheetId="1" hidden="1">EX_4Model!$G$13:$G$15</definedName>
    <definedName name="solver_lhs134" localSheetId="1" hidden="1">EX_4Model!$C$16:$F$16</definedName>
    <definedName name="solver_lhs135" localSheetId="1" hidden="1">EX_4Model!$G$13:$G$15</definedName>
    <definedName name="solver_lhs136" localSheetId="1" hidden="1">EX_4Model!$C$16:$F$16</definedName>
    <definedName name="solver_lhs137" localSheetId="1" hidden="1">EX_4Model!$G$13:$G$15</definedName>
    <definedName name="solver_lhs138" localSheetId="1" hidden="1">EX_4Model!$C$16:$F$16</definedName>
    <definedName name="solver_lhs139" localSheetId="1" hidden="1">EX_4Model!$G$13:$G$15</definedName>
    <definedName name="solver_lhs14" localSheetId="1" hidden="1">EX_4Model!$C$16:$F$16</definedName>
    <definedName name="solver_lhs140" localSheetId="1" hidden="1">EX_4Model!$C$16:$F$16</definedName>
    <definedName name="solver_lhs141" localSheetId="1" hidden="1">EX_4Model!$G$13:$G$15</definedName>
    <definedName name="solver_lhs142" localSheetId="1" hidden="1">EX_4Model!$C$16:$F$16</definedName>
    <definedName name="solver_lhs143" localSheetId="1" hidden="1">EX_4Model!$G$13:$G$15</definedName>
    <definedName name="solver_lhs144" localSheetId="1" hidden="1">EX_4Model!$C$16:$F$16</definedName>
    <definedName name="solver_lhs145" localSheetId="1" hidden="1">EX_4Model!$G$13:$G$15</definedName>
    <definedName name="solver_lhs146" localSheetId="1" hidden="1">EX_4Model!$C$16:$F$16</definedName>
    <definedName name="solver_lhs147" localSheetId="1" hidden="1">EX_4Model!$G$13:$G$15</definedName>
    <definedName name="solver_lhs148" localSheetId="1" hidden="1">EX_4Model!$C$16:$F$16</definedName>
    <definedName name="solver_lhs149" localSheetId="1" hidden="1">EX_4Model!$G$13:$G$15</definedName>
    <definedName name="solver_lhs15" localSheetId="1" hidden="1">EX_4Model!$G$13:$G$15</definedName>
    <definedName name="solver_lhs150" localSheetId="1" hidden="1">EX_4Model!$C$16:$F$16</definedName>
    <definedName name="solver_lhs151" localSheetId="1" hidden="1">EX_4Model!$G$13:$G$15</definedName>
    <definedName name="solver_lhs152" localSheetId="1" hidden="1">EX_4Model!$C$16:$F$16</definedName>
    <definedName name="solver_lhs153" localSheetId="1" hidden="1">EX_4Model!$G$13:$G$15</definedName>
    <definedName name="solver_lhs154" localSheetId="1" hidden="1">EX_4Model!$C$16:$F$16</definedName>
    <definedName name="solver_lhs155" localSheetId="1" hidden="1">EX_4Model!$G$13:$G$15</definedName>
    <definedName name="solver_lhs156" localSheetId="1" hidden="1">EX_4Model!$C$16:$F$16</definedName>
    <definedName name="solver_lhs157" localSheetId="1" hidden="1">EX_4Model!$G$13:$G$15</definedName>
    <definedName name="solver_lhs158" localSheetId="1" hidden="1">EX_4Model!$C$16:$F$16</definedName>
    <definedName name="solver_lhs159" localSheetId="1" hidden="1">EX_4Model!$G$13:$G$15</definedName>
    <definedName name="solver_lhs16" localSheetId="1" hidden="1">EX_4Model!$C$16:$F$16</definedName>
    <definedName name="solver_lhs160" localSheetId="1" hidden="1">EX_4Model!$C$16:$F$16</definedName>
    <definedName name="solver_lhs161" localSheetId="1" hidden="1">EX_4Model!$G$13:$G$15</definedName>
    <definedName name="solver_lhs162" localSheetId="1" hidden="1">EX_4Model!$C$16:$F$16</definedName>
    <definedName name="solver_lhs163" localSheetId="1" hidden="1">EX_4Model!$G$13:$G$15</definedName>
    <definedName name="solver_lhs164" localSheetId="1" hidden="1">EX_4Model!$C$16:$F$16</definedName>
    <definedName name="solver_lhs165" localSheetId="1" hidden="1">EX_4Model!$G$13:$G$15</definedName>
    <definedName name="solver_lhs166" localSheetId="1" hidden="1">EX_4Model!$C$16:$F$16</definedName>
    <definedName name="solver_lhs167" localSheetId="1" hidden="1">EX_4Model!$G$13:$G$15</definedName>
    <definedName name="solver_lhs168" localSheetId="1" hidden="1">EX_4Model!$C$16:$F$16</definedName>
    <definedName name="solver_lhs169" localSheetId="1" hidden="1">EX_4Model!$G$13:$G$15</definedName>
    <definedName name="solver_lhs17" localSheetId="1" hidden="1">EX_4Model!$G$13:$G$15</definedName>
    <definedName name="solver_lhs170" localSheetId="1" hidden="1">EX_4Model!$C$16:$F$16</definedName>
    <definedName name="solver_lhs171" localSheetId="1" hidden="1">EX_4Model!$G$13:$G$15</definedName>
    <definedName name="solver_lhs172" localSheetId="1" hidden="1">EX_4Model!$C$16:$F$16</definedName>
    <definedName name="solver_lhs173" localSheetId="1" hidden="1">EX_4Model!$G$13:$G$15</definedName>
    <definedName name="solver_lhs174" localSheetId="1" hidden="1">EX_4Model!$C$16:$F$16</definedName>
    <definedName name="solver_lhs175" localSheetId="1" hidden="1">EX_4Model!$G$13:$G$15</definedName>
    <definedName name="solver_lhs176" localSheetId="1" hidden="1">EX_4Model!$C$16:$F$16</definedName>
    <definedName name="solver_lhs177" localSheetId="1" hidden="1">EX_4Model!$G$13:$G$15</definedName>
    <definedName name="solver_lhs178" localSheetId="1" hidden="1">EX_4Model!$C$16:$F$16</definedName>
    <definedName name="solver_lhs179" localSheetId="1" hidden="1">EX_4Model!$G$13:$G$15</definedName>
    <definedName name="solver_lhs18" localSheetId="1" hidden="1">EX_4Model!$C$16:$F$16</definedName>
    <definedName name="solver_lhs180" localSheetId="1" hidden="1">EX_4Model!$C$16:$F$16</definedName>
    <definedName name="solver_lhs181" localSheetId="1" hidden="1">EX_4Model!$G$13:$G$15</definedName>
    <definedName name="solver_lhs182" localSheetId="1" hidden="1">EX_4Model!$C$16:$F$16</definedName>
    <definedName name="solver_lhs183" localSheetId="1" hidden="1">EX_4Model!$G$13:$G$15</definedName>
    <definedName name="solver_lhs184" localSheetId="1" hidden="1">EX_4Model!$C$16:$F$16</definedName>
    <definedName name="solver_lhs185" localSheetId="1" hidden="1">EX_4Model!$G$13:$G$15</definedName>
    <definedName name="solver_lhs186" localSheetId="1" hidden="1">EX_4Model!$C$16:$F$16</definedName>
    <definedName name="solver_lhs187" localSheetId="1" hidden="1">EX_4Model!$G$13:$G$15</definedName>
    <definedName name="solver_lhs188" localSheetId="1" hidden="1">EX_4Model!$C$16:$F$16</definedName>
    <definedName name="solver_lhs189" localSheetId="1" hidden="1">EX_4Model!$G$13:$G$15</definedName>
    <definedName name="solver_lhs19" localSheetId="1" hidden="1">EX_4Model!$G$13:$G$15</definedName>
    <definedName name="solver_lhs190" localSheetId="1" hidden="1">EX_4Model!$C$16:$F$16</definedName>
    <definedName name="solver_lhs191" localSheetId="1" hidden="1">EX_4Model!$G$13:$G$15</definedName>
    <definedName name="solver_lhs192" localSheetId="1" hidden="1">EX_4Model!$C$16:$F$16</definedName>
    <definedName name="solver_lhs193" localSheetId="1" hidden="1">EX_4Model!$G$13:$G$15</definedName>
    <definedName name="solver_lhs194" localSheetId="1" hidden="1">EX_4Model!$C$16:$F$16</definedName>
    <definedName name="solver_lhs195" localSheetId="1" hidden="1">EX_4Model!$G$13:$G$15</definedName>
    <definedName name="solver_lhs196" localSheetId="1" hidden="1">EX_4Model!$C$16:$F$16</definedName>
    <definedName name="solver_lhs197" localSheetId="1" hidden="1">EX_4Model!$G$13:$G$15</definedName>
    <definedName name="solver_lhs198" localSheetId="1" hidden="1">EX_4Model!$C$16:$F$16</definedName>
    <definedName name="solver_lhs199" localSheetId="1" hidden="1">EX_4Model!$G$13:$G$15</definedName>
    <definedName name="solver_lhs2" localSheetId="1" hidden="1">EX_4Model!$C$16:$F$16</definedName>
    <definedName name="solver_lhs2" localSheetId="3" hidden="1">Results!$C$16:$F$16</definedName>
    <definedName name="solver_lhs2" localSheetId="0" hidden="1">'Solver-VBA'!$B$9:$D$9</definedName>
    <definedName name="solver_lhs20" localSheetId="1" hidden="1">EX_4Model!$C$16:$F$16</definedName>
    <definedName name="solver_lhs200" localSheetId="1" hidden="1">EX_4Model!$C$16:$F$16</definedName>
    <definedName name="solver_lhs201" localSheetId="1" hidden="1">EX_4Model!$G$13:$G$15</definedName>
    <definedName name="solver_lhs202" localSheetId="1" hidden="1">EX_4Model!$C$16:$F$16</definedName>
    <definedName name="solver_lhs203" localSheetId="1" hidden="1">EX_4Model!$G$13:$G$15</definedName>
    <definedName name="solver_lhs204" localSheetId="1" hidden="1">EX_4Model!$C$16:$F$16</definedName>
    <definedName name="solver_lhs205" localSheetId="1" hidden="1">EX_4Model!$G$13:$G$15</definedName>
    <definedName name="solver_lhs206" localSheetId="1" hidden="1">EX_4Model!$C$16:$F$16</definedName>
    <definedName name="solver_lhs207" localSheetId="1" hidden="1">EX_4Model!$G$13:$G$15</definedName>
    <definedName name="solver_lhs208" localSheetId="1" hidden="1">EX_4Model!$C$16:$F$16</definedName>
    <definedName name="solver_lhs209" localSheetId="1" hidden="1">EX_4Model!$G$13:$G$15</definedName>
    <definedName name="solver_lhs21" localSheetId="1" hidden="1">EX_4Model!$G$13:$G$15</definedName>
    <definedName name="solver_lhs210" localSheetId="1" hidden="1">EX_4Model!$C$16:$F$16</definedName>
    <definedName name="solver_lhs211" localSheetId="1" hidden="1">EX_4Model!$G$13:$G$15</definedName>
    <definedName name="solver_lhs212" localSheetId="1" hidden="1">EX_4Model!$C$16:$F$16</definedName>
    <definedName name="solver_lhs213" localSheetId="1" hidden="1">EX_4Model!$G$13:$G$15</definedName>
    <definedName name="solver_lhs214" localSheetId="1" hidden="1">EX_4Model!$C$16:$F$16</definedName>
    <definedName name="solver_lhs215" localSheetId="1" hidden="1">EX_4Model!$G$13:$G$15</definedName>
    <definedName name="solver_lhs216" localSheetId="1" hidden="1">EX_4Model!$C$16:$F$16</definedName>
    <definedName name="solver_lhs217" localSheetId="1" hidden="1">EX_4Model!$G$13:$G$15</definedName>
    <definedName name="solver_lhs218" localSheetId="1" hidden="1">EX_4Model!$C$16:$F$16</definedName>
    <definedName name="solver_lhs219" localSheetId="1" hidden="1">EX_4Model!$G$13:$G$15</definedName>
    <definedName name="solver_lhs22" localSheetId="1" hidden="1">EX_4Model!$C$16:$F$16</definedName>
    <definedName name="solver_lhs220" localSheetId="1" hidden="1">EX_4Model!$C$16:$F$16</definedName>
    <definedName name="solver_lhs221" localSheetId="1" hidden="1">EX_4Model!$G$13:$G$15</definedName>
    <definedName name="solver_lhs222" localSheetId="1" hidden="1">EX_4Model!$C$16:$F$16</definedName>
    <definedName name="solver_lhs223" localSheetId="1" hidden="1">EX_4Model!$G$13:$G$15</definedName>
    <definedName name="solver_lhs224" localSheetId="1" hidden="1">EX_4Model!$C$16:$F$16</definedName>
    <definedName name="solver_lhs225" localSheetId="1" hidden="1">EX_4Model!$G$13:$G$15</definedName>
    <definedName name="solver_lhs226" localSheetId="1" hidden="1">EX_4Model!$C$16:$F$16</definedName>
    <definedName name="solver_lhs227" localSheetId="1" hidden="1">EX_4Model!$G$13:$G$15</definedName>
    <definedName name="solver_lhs228" localSheetId="1" hidden="1">EX_4Model!$C$16:$F$16</definedName>
    <definedName name="solver_lhs229" localSheetId="1" hidden="1">EX_4Model!$G$13:$G$15</definedName>
    <definedName name="solver_lhs23" localSheetId="1" hidden="1">EX_4Model!$G$13:$G$15</definedName>
    <definedName name="solver_lhs230" localSheetId="1" hidden="1">EX_4Model!$C$16:$F$16</definedName>
    <definedName name="solver_lhs231" localSheetId="1" hidden="1">EX_4Model!$G$13:$G$15</definedName>
    <definedName name="solver_lhs232" localSheetId="1" hidden="1">EX_4Model!$C$16:$F$16</definedName>
    <definedName name="solver_lhs233" localSheetId="1" hidden="1">EX_4Model!$G$13:$G$15</definedName>
    <definedName name="solver_lhs234" localSheetId="1" hidden="1">EX_4Model!$C$16:$F$16</definedName>
    <definedName name="solver_lhs235" localSheetId="1" hidden="1">EX_4Model!$G$13:$G$15</definedName>
    <definedName name="solver_lhs236" localSheetId="1" hidden="1">EX_4Model!$C$16:$F$16</definedName>
    <definedName name="solver_lhs237" localSheetId="1" hidden="1">EX_4Model!$G$13:$G$15</definedName>
    <definedName name="solver_lhs238" localSheetId="1" hidden="1">EX_4Model!$C$16:$F$16</definedName>
    <definedName name="solver_lhs239" localSheetId="1" hidden="1">EX_4Model!$G$13:$G$15</definedName>
    <definedName name="solver_lhs24" localSheetId="1" hidden="1">EX_4Model!$C$16:$F$16</definedName>
    <definedName name="solver_lhs240" localSheetId="1" hidden="1">EX_4Model!$C$16:$F$16</definedName>
    <definedName name="solver_lhs241" localSheetId="1" hidden="1">EX_4Model!$G$13:$G$15</definedName>
    <definedName name="solver_lhs242" localSheetId="1" hidden="1">EX_4Model!$C$16:$F$16</definedName>
    <definedName name="solver_lhs243" localSheetId="1" hidden="1">EX_4Model!$G$13:$G$15</definedName>
    <definedName name="solver_lhs244" localSheetId="1" hidden="1">EX_4Model!$C$16:$F$16</definedName>
    <definedName name="solver_lhs245" localSheetId="1" hidden="1">EX_4Model!$G$13:$G$15</definedName>
    <definedName name="solver_lhs246" localSheetId="1" hidden="1">EX_4Model!$C$16:$F$16</definedName>
    <definedName name="solver_lhs247" localSheetId="1" hidden="1">EX_4Model!$G$13:$G$15</definedName>
    <definedName name="solver_lhs248" localSheetId="1" hidden="1">EX_4Model!$C$16:$F$16</definedName>
    <definedName name="solver_lhs249" localSheetId="1" hidden="1">EX_4Model!$G$13:$G$15</definedName>
    <definedName name="solver_lhs25" localSheetId="1" hidden="1">EX_4Model!$G$13:$G$15</definedName>
    <definedName name="solver_lhs250" localSheetId="1" hidden="1">EX_4Model!$C$16:$F$16</definedName>
    <definedName name="solver_lhs251" localSheetId="1" hidden="1">EX_4Model!$G$13:$G$15</definedName>
    <definedName name="solver_lhs252" localSheetId="1" hidden="1">EX_4Model!$C$16:$F$16</definedName>
    <definedName name="solver_lhs253" localSheetId="1" hidden="1">EX_4Model!$G$13:$G$15</definedName>
    <definedName name="solver_lhs254" localSheetId="1" hidden="1">EX_4Model!$C$16:$F$16</definedName>
    <definedName name="solver_lhs26" localSheetId="1" hidden="1">EX_4Model!$C$16:$F$16</definedName>
    <definedName name="solver_lhs27" localSheetId="1" hidden="1">EX_4Model!$G$13:$G$15</definedName>
    <definedName name="solver_lhs28" localSheetId="1" hidden="1">EX_4Model!$C$16:$F$16</definedName>
    <definedName name="solver_lhs29" localSheetId="1" hidden="1">EX_4Model!$G$13:$G$15</definedName>
    <definedName name="solver_lhs3" localSheetId="1" hidden="1">EX_4Model!$G$13:$G$15</definedName>
    <definedName name="solver_lhs30" localSheetId="1" hidden="1">EX_4Model!$C$16:$F$16</definedName>
    <definedName name="solver_lhs31" localSheetId="1" hidden="1">EX_4Model!$G$13:$G$15</definedName>
    <definedName name="solver_lhs32" localSheetId="1" hidden="1">EX_4Model!$C$16:$F$16</definedName>
    <definedName name="solver_lhs33" localSheetId="1" hidden="1">EX_4Model!$G$13:$G$15</definedName>
    <definedName name="solver_lhs34" localSheetId="1" hidden="1">EX_4Model!$C$16:$F$16</definedName>
    <definedName name="solver_lhs35" localSheetId="1" hidden="1">EX_4Model!$G$13:$G$15</definedName>
    <definedName name="solver_lhs36" localSheetId="1" hidden="1">EX_4Model!$C$16:$F$16</definedName>
    <definedName name="solver_lhs37" localSheetId="1" hidden="1">EX_4Model!$G$13:$G$15</definedName>
    <definedName name="solver_lhs38" localSheetId="1" hidden="1">EX_4Model!$C$16:$F$16</definedName>
    <definedName name="solver_lhs39" localSheetId="1" hidden="1">EX_4Model!$G$13:$G$15</definedName>
    <definedName name="solver_lhs4" localSheetId="1" hidden="1">EX_4Model!$C$16:$F$16</definedName>
    <definedName name="solver_lhs40" localSheetId="1" hidden="1">EX_4Model!$C$16:$F$16</definedName>
    <definedName name="solver_lhs41" localSheetId="1" hidden="1">EX_4Model!$G$13:$G$15</definedName>
    <definedName name="solver_lhs42" localSheetId="1" hidden="1">EX_4Model!$C$16:$F$16</definedName>
    <definedName name="solver_lhs43" localSheetId="1" hidden="1">EX_4Model!$G$13:$G$15</definedName>
    <definedName name="solver_lhs44" localSheetId="1" hidden="1">EX_4Model!$C$16:$F$16</definedName>
    <definedName name="solver_lhs45" localSheetId="1" hidden="1">EX_4Model!$G$13:$G$15</definedName>
    <definedName name="solver_lhs46" localSheetId="1" hidden="1">EX_4Model!$C$16:$F$16</definedName>
    <definedName name="solver_lhs47" localSheetId="1" hidden="1">EX_4Model!$G$13:$G$15</definedName>
    <definedName name="solver_lhs48" localSheetId="1" hidden="1">EX_4Model!$C$16:$F$16</definedName>
    <definedName name="solver_lhs49" localSheetId="1" hidden="1">EX_4Model!$G$13:$G$15</definedName>
    <definedName name="solver_lhs5" localSheetId="1" hidden="1">EX_4Model!$G$13:$G$15</definedName>
    <definedName name="solver_lhs50" localSheetId="1" hidden="1">EX_4Model!$C$16:$F$16</definedName>
    <definedName name="solver_lhs51" localSheetId="1" hidden="1">EX_4Model!$G$13:$G$15</definedName>
    <definedName name="solver_lhs52" localSheetId="1" hidden="1">EX_4Model!$C$16:$F$16</definedName>
    <definedName name="solver_lhs53" localSheetId="1" hidden="1">EX_4Model!$G$13:$G$15</definedName>
    <definedName name="solver_lhs54" localSheetId="1" hidden="1">EX_4Model!$C$16:$F$16</definedName>
    <definedName name="solver_lhs55" localSheetId="1" hidden="1">EX_4Model!$G$13:$G$15</definedName>
    <definedName name="solver_lhs56" localSheetId="1" hidden="1">EX_4Model!$C$16:$F$16</definedName>
    <definedName name="solver_lhs57" localSheetId="1" hidden="1">EX_4Model!$G$13:$G$15</definedName>
    <definedName name="solver_lhs58" localSheetId="1" hidden="1">EX_4Model!$C$16:$F$16</definedName>
    <definedName name="solver_lhs59" localSheetId="1" hidden="1">EX_4Model!$G$13:$G$15</definedName>
    <definedName name="solver_lhs6" localSheetId="1" hidden="1">EX_4Model!$C$16:$F$16</definedName>
    <definedName name="solver_lhs60" localSheetId="1" hidden="1">EX_4Model!$C$16:$F$16</definedName>
    <definedName name="solver_lhs61" localSheetId="1" hidden="1">EX_4Model!$G$13:$G$15</definedName>
    <definedName name="solver_lhs62" localSheetId="1" hidden="1">EX_4Model!$C$16:$F$16</definedName>
    <definedName name="solver_lhs63" localSheetId="1" hidden="1">EX_4Model!$G$13:$G$15</definedName>
    <definedName name="solver_lhs64" localSheetId="1" hidden="1">EX_4Model!$C$16:$F$16</definedName>
    <definedName name="solver_lhs65" localSheetId="1" hidden="1">EX_4Model!$G$13:$G$15</definedName>
    <definedName name="solver_lhs66" localSheetId="1" hidden="1">EX_4Model!$C$16:$F$16</definedName>
    <definedName name="solver_lhs67" localSheetId="1" hidden="1">EX_4Model!$G$13:$G$15</definedName>
    <definedName name="solver_lhs68" localSheetId="1" hidden="1">EX_4Model!$C$16:$F$16</definedName>
    <definedName name="solver_lhs69" localSheetId="1" hidden="1">EX_4Model!$G$13:$G$15</definedName>
    <definedName name="solver_lhs7" localSheetId="1" hidden="1">EX_4Model!$G$13:$G$15</definedName>
    <definedName name="solver_lhs70" localSheetId="1" hidden="1">EX_4Model!$C$16:$F$16</definedName>
    <definedName name="solver_lhs71" localSheetId="1" hidden="1">EX_4Model!$G$13:$G$15</definedName>
    <definedName name="solver_lhs72" localSheetId="1" hidden="1">EX_4Model!$C$16:$F$16</definedName>
    <definedName name="solver_lhs73" localSheetId="1" hidden="1">EX_4Model!$G$13:$G$15</definedName>
    <definedName name="solver_lhs74" localSheetId="1" hidden="1">EX_4Model!$C$16:$F$16</definedName>
    <definedName name="solver_lhs75" localSheetId="1" hidden="1">EX_4Model!$G$13:$G$15</definedName>
    <definedName name="solver_lhs76" localSheetId="1" hidden="1">EX_4Model!$C$16:$F$16</definedName>
    <definedName name="solver_lhs77" localSheetId="1" hidden="1">EX_4Model!$G$13:$G$15</definedName>
    <definedName name="solver_lhs78" localSheetId="1" hidden="1">EX_4Model!$C$16:$F$16</definedName>
    <definedName name="solver_lhs79" localSheetId="1" hidden="1">EX_4Model!$G$13:$G$15</definedName>
    <definedName name="solver_lhs8" localSheetId="1" hidden="1">EX_4Model!$C$16:$F$16</definedName>
    <definedName name="solver_lhs80" localSheetId="1" hidden="1">EX_4Model!$C$16:$F$16</definedName>
    <definedName name="solver_lhs81" localSheetId="1" hidden="1">EX_4Model!$G$13:$G$15</definedName>
    <definedName name="solver_lhs82" localSheetId="1" hidden="1">EX_4Model!$C$16:$F$16</definedName>
    <definedName name="solver_lhs83" localSheetId="1" hidden="1">EX_4Model!$G$13:$G$15</definedName>
    <definedName name="solver_lhs84" localSheetId="1" hidden="1">EX_4Model!$C$16:$F$16</definedName>
    <definedName name="solver_lhs85" localSheetId="1" hidden="1">EX_4Model!$G$13:$G$15</definedName>
    <definedName name="solver_lhs86" localSheetId="1" hidden="1">EX_4Model!$C$16:$F$16</definedName>
    <definedName name="solver_lhs87" localSheetId="1" hidden="1">EX_4Model!$G$13:$G$15</definedName>
    <definedName name="solver_lhs88" localSheetId="1" hidden="1">EX_4Model!$C$16:$F$16</definedName>
    <definedName name="solver_lhs89" localSheetId="1" hidden="1">EX_4Model!$G$13:$G$15</definedName>
    <definedName name="solver_lhs9" localSheetId="1" hidden="1">EX_4Model!$G$13:$G$15</definedName>
    <definedName name="solver_lhs90" localSheetId="1" hidden="1">EX_4Model!$C$16:$F$16</definedName>
    <definedName name="solver_lhs91" localSheetId="1" hidden="1">EX_4Model!$G$13:$G$15</definedName>
    <definedName name="solver_lhs92" localSheetId="1" hidden="1">EX_4Model!$C$16:$F$16</definedName>
    <definedName name="solver_lhs93" localSheetId="1" hidden="1">EX_4Model!$G$13:$G$15</definedName>
    <definedName name="solver_lhs94" localSheetId="1" hidden="1">EX_4Model!$C$16:$F$16</definedName>
    <definedName name="solver_lhs95" localSheetId="1" hidden="1">EX_4Model!$G$13:$G$15</definedName>
    <definedName name="solver_lhs96" localSheetId="1" hidden="1">EX_4Model!$C$16:$F$16</definedName>
    <definedName name="solver_lhs97" localSheetId="1" hidden="1">EX_4Model!$G$13:$G$15</definedName>
    <definedName name="solver_lhs98" localSheetId="1" hidden="1">EX_4Model!$C$16:$F$16</definedName>
    <definedName name="solver_lhs99" localSheetId="1" hidden="1">EX_4Model!$G$13:$G$15</definedName>
    <definedName name="solver_lin" localSheetId="1" hidden="1">1</definedName>
    <definedName name="solver_lin" localSheetId="3" hidden="1">1</definedName>
    <definedName name="solver_lin" localSheetId="0" hidden="1">1</definedName>
    <definedName name="solver_neg" localSheetId="1" hidden="1">1</definedName>
    <definedName name="solver_neg" localSheetId="3" hidden="1">1</definedName>
    <definedName name="solver_neg" localSheetId="0" hidden="1">1</definedName>
    <definedName name="solver_num" localSheetId="1" hidden="1">2</definedName>
    <definedName name="solver_num" localSheetId="3" hidden="1">2</definedName>
    <definedName name="solver_num" localSheetId="0" hidden="1">2</definedName>
    <definedName name="solver_opt" localSheetId="1" hidden="1">EX_4Model!$B$20</definedName>
    <definedName name="solver_opt" localSheetId="3" hidden="1">Results!$I$14</definedName>
    <definedName name="solver_opt" localSheetId="0" hidden="1">'Solver-VBA'!$B$10</definedName>
    <definedName name="solver_rel1" localSheetId="1" hidden="1">1</definedName>
    <definedName name="solver_rel1" localSheetId="3" hidden="1">1</definedName>
    <definedName name="solver_rel1" localSheetId="0" hidden="1">1</definedName>
    <definedName name="solver_rel10" localSheetId="1" hidden="1">3</definedName>
    <definedName name="solver_rel100" localSheetId="1" hidden="1">3</definedName>
    <definedName name="solver_rel101" localSheetId="1" hidden="1">1</definedName>
    <definedName name="solver_rel102" localSheetId="1" hidden="1">3</definedName>
    <definedName name="solver_rel103" localSheetId="1" hidden="1">1</definedName>
    <definedName name="solver_rel104" localSheetId="1" hidden="1">3</definedName>
    <definedName name="solver_rel105" localSheetId="1" hidden="1">1</definedName>
    <definedName name="solver_rel106" localSheetId="1" hidden="1">3</definedName>
    <definedName name="solver_rel107" localSheetId="1" hidden="1">1</definedName>
    <definedName name="solver_rel108" localSheetId="1" hidden="1">3</definedName>
    <definedName name="solver_rel109" localSheetId="1" hidden="1">1</definedName>
    <definedName name="solver_rel11" localSheetId="1" hidden="1">1</definedName>
    <definedName name="solver_rel110" localSheetId="1" hidden="1">3</definedName>
    <definedName name="solver_rel111" localSheetId="1" hidden="1">1</definedName>
    <definedName name="solver_rel112" localSheetId="1" hidden="1">3</definedName>
    <definedName name="solver_rel113" localSheetId="1" hidden="1">1</definedName>
    <definedName name="solver_rel114" localSheetId="1" hidden="1">3</definedName>
    <definedName name="solver_rel115" localSheetId="1" hidden="1">1</definedName>
    <definedName name="solver_rel116" localSheetId="1" hidden="1">3</definedName>
    <definedName name="solver_rel117" localSheetId="1" hidden="1">1</definedName>
    <definedName name="solver_rel118" localSheetId="1" hidden="1">3</definedName>
    <definedName name="solver_rel119" localSheetId="1" hidden="1">1</definedName>
    <definedName name="solver_rel12" localSheetId="1" hidden="1">3</definedName>
    <definedName name="solver_rel120" localSheetId="1" hidden="1">3</definedName>
    <definedName name="solver_rel121" localSheetId="1" hidden="1">1</definedName>
    <definedName name="solver_rel122" localSheetId="1" hidden="1">3</definedName>
    <definedName name="solver_rel123" localSheetId="1" hidden="1">1</definedName>
    <definedName name="solver_rel124" localSheetId="1" hidden="1">3</definedName>
    <definedName name="solver_rel125" localSheetId="1" hidden="1">1</definedName>
    <definedName name="solver_rel126" localSheetId="1" hidden="1">3</definedName>
    <definedName name="solver_rel127" localSheetId="1" hidden="1">1</definedName>
    <definedName name="solver_rel128" localSheetId="1" hidden="1">3</definedName>
    <definedName name="solver_rel129" localSheetId="1" hidden="1">1</definedName>
    <definedName name="solver_rel13" localSheetId="1" hidden="1">1</definedName>
    <definedName name="solver_rel130" localSheetId="1" hidden="1">3</definedName>
    <definedName name="solver_rel131" localSheetId="1" hidden="1">1</definedName>
    <definedName name="solver_rel132" localSheetId="1" hidden="1">3</definedName>
    <definedName name="solver_rel133" localSheetId="1" hidden="1">1</definedName>
    <definedName name="solver_rel134" localSheetId="1" hidden="1">3</definedName>
    <definedName name="solver_rel135" localSheetId="1" hidden="1">1</definedName>
    <definedName name="solver_rel136" localSheetId="1" hidden="1">3</definedName>
    <definedName name="solver_rel137" localSheetId="1" hidden="1">1</definedName>
    <definedName name="solver_rel138" localSheetId="1" hidden="1">3</definedName>
    <definedName name="solver_rel139" localSheetId="1" hidden="1">1</definedName>
    <definedName name="solver_rel14" localSheetId="1" hidden="1">3</definedName>
    <definedName name="solver_rel140" localSheetId="1" hidden="1">3</definedName>
    <definedName name="solver_rel141" localSheetId="1" hidden="1">1</definedName>
    <definedName name="solver_rel142" localSheetId="1" hidden="1">3</definedName>
    <definedName name="solver_rel143" localSheetId="1" hidden="1">1</definedName>
    <definedName name="solver_rel144" localSheetId="1" hidden="1">3</definedName>
    <definedName name="solver_rel145" localSheetId="1" hidden="1">1</definedName>
    <definedName name="solver_rel146" localSheetId="1" hidden="1">3</definedName>
    <definedName name="solver_rel147" localSheetId="1" hidden="1">1</definedName>
    <definedName name="solver_rel148" localSheetId="1" hidden="1">3</definedName>
    <definedName name="solver_rel149" localSheetId="1" hidden="1">1</definedName>
    <definedName name="solver_rel15" localSheetId="1" hidden="1">1</definedName>
    <definedName name="solver_rel150" localSheetId="1" hidden="1">3</definedName>
    <definedName name="solver_rel151" localSheetId="1" hidden="1">1</definedName>
    <definedName name="solver_rel152" localSheetId="1" hidden="1">3</definedName>
    <definedName name="solver_rel153" localSheetId="1" hidden="1">1</definedName>
    <definedName name="solver_rel154" localSheetId="1" hidden="1">3</definedName>
    <definedName name="solver_rel155" localSheetId="1" hidden="1">1</definedName>
    <definedName name="solver_rel156" localSheetId="1" hidden="1">3</definedName>
    <definedName name="solver_rel157" localSheetId="1" hidden="1">1</definedName>
    <definedName name="solver_rel158" localSheetId="1" hidden="1">3</definedName>
    <definedName name="solver_rel159" localSheetId="1" hidden="1">1</definedName>
    <definedName name="solver_rel16" localSheetId="1" hidden="1">3</definedName>
    <definedName name="solver_rel160" localSheetId="1" hidden="1">3</definedName>
    <definedName name="solver_rel161" localSheetId="1" hidden="1">1</definedName>
    <definedName name="solver_rel162" localSheetId="1" hidden="1">3</definedName>
    <definedName name="solver_rel163" localSheetId="1" hidden="1">1</definedName>
    <definedName name="solver_rel164" localSheetId="1" hidden="1">3</definedName>
    <definedName name="solver_rel165" localSheetId="1" hidden="1">1</definedName>
    <definedName name="solver_rel166" localSheetId="1" hidden="1">3</definedName>
    <definedName name="solver_rel167" localSheetId="1" hidden="1">1</definedName>
    <definedName name="solver_rel168" localSheetId="1" hidden="1">3</definedName>
    <definedName name="solver_rel169" localSheetId="1" hidden="1">1</definedName>
    <definedName name="solver_rel17" localSheetId="1" hidden="1">1</definedName>
    <definedName name="solver_rel170" localSheetId="1" hidden="1">3</definedName>
    <definedName name="solver_rel171" localSheetId="1" hidden="1">1</definedName>
    <definedName name="solver_rel172" localSheetId="1" hidden="1">3</definedName>
    <definedName name="solver_rel173" localSheetId="1" hidden="1">1</definedName>
    <definedName name="solver_rel174" localSheetId="1" hidden="1">3</definedName>
    <definedName name="solver_rel175" localSheetId="1" hidden="1">1</definedName>
    <definedName name="solver_rel176" localSheetId="1" hidden="1">3</definedName>
    <definedName name="solver_rel177" localSheetId="1" hidden="1">1</definedName>
    <definedName name="solver_rel178" localSheetId="1" hidden="1">3</definedName>
    <definedName name="solver_rel179" localSheetId="1" hidden="1">1</definedName>
    <definedName name="solver_rel18" localSheetId="1" hidden="1">3</definedName>
    <definedName name="solver_rel180" localSheetId="1" hidden="1">3</definedName>
    <definedName name="solver_rel181" localSheetId="1" hidden="1">1</definedName>
    <definedName name="solver_rel182" localSheetId="1" hidden="1">3</definedName>
    <definedName name="solver_rel183" localSheetId="1" hidden="1">1</definedName>
    <definedName name="solver_rel184" localSheetId="1" hidden="1">3</definedName>
    <definedName name="solver_rel185" localSheetId="1" hidden="1">1</definedName>
    <definedName name="solver_rel186" localSheetId="1" hidden="1">3</definedName>
    <definedName name="solver_rel187" localSheetId="1" hidden="1">1</definedName>
    <definedName name="solver_rel188" localSheetId="1" hidden="1">3</definedName>
    <definedName name="solver_rel189" localSheetId="1" hidden="1">1</definedName>
    <definedName name="solver_rel19" localSheetId="1" hidden="1">1</definedName>
    <definedName name="solver_rel190" localSheetId="1" hidden="1">3</definedName>
    <definedName name="solver_rel191" localSheetId="1" hidden="1">1</definedName>
    <definedName name="solver_rel192" localSheetId="1" hidden="1">3</definedName>
    <definedName name="solver_rel193" localSheetId="1" hidden="1">1</definedName>
    <definedName name="solver_rel194" localSheetId="1" hidden="1">3</definedName>
    <definedName name="solver_rel195" localSheetId="1" hidden="1">1</definedName>
    <definedName name="solver_rel196" localSheetId="1" hidden="1">3</definedName>
    <definedName name="solver_rel197" localSheetId="1" hidden="1">1</definedName>
    <definedName name="solver_rel198" localSheetId="1" hidden="1">3</definedName>
    <definedName name="solver_rel199" localSheetId="1" hidden="1">1</definedName>
    <definedName name="solver_rel2" localSheetId="1" hidden="1">3</definedName>
    <definedName name="solver_rel2" localSheetId="3" hidden="1">3</definedName>
    <definedName name="solver_rel2" localSheetId="0" hidden="1">3</definedName>
    <definedName name="solver_rel20" localSheetId="1" hidden="1">3</definedName>
    <definedName name="solver_rel200" localSheetId="1" hidden="1">3</definedName>
    <definedName name="solver_rel201" localSheetId="1" hidden="1">1</definedName>
    <definedName name="solver_rel202" localSheetId="1" hidden="1">3</definedName>
    <definedName name="solver_rel203" localSheetId="1" hidden="1">1</definedName>
    <definedName name="solver_rel204" localSheetId="1" hidden="1">3</definedName>
    <definedName name="solver_rel205" localSheetId="1" hidden="1">1</definedName>
    <definedName name="solver_rel206" localSheetId="1" hidden="1">3</definedName>
    <definedName name="solver_rel207" localSheetId="1" hidden="1">1</definedName>
    <definedName name="solver_rel208" localSheetId="1" hidden="1">3</definedName>
    <definedName name="solver_rel209" localSheetId="1" hidden="1">1</definedName>
    <definedName name="solver_rel21" localSheetId="1" hidden="1">1</definedName>
    <definedName name="solver_rel210" localSheetId="1" hidden="1">3</definedName>
    <definedName name="solver_rel211" localSheetId="1" hidden="1">1</definedName>
    <definedName name="solver_rel212" localSheetId="1" hidden="1">3</definedName>
    <definedName name="solver_rel213" localSheetId="1" hidden="1">1</definedName>
    <definedName name="solver_rel214" localSheetId="1" hidden="1">3</definedName>
    <definedName name="solver_rel215" localSheetId="1" hidden="1">1</definedName>
    <definedName name="solver_rel216" localSheetId="1" hidden="1">3</definedName>
    <definedName name="solver_rel217" localSheetId="1" hidden="1">1</definedName>
    <definedName name="solver_rel218" localSheetId="1" hidden="1">3</definedName>
    <definedName name="solver_rel219" localSheetId="1" hidden="1">1</definedName>
    <definedName name="solver_rel22" localSheetId="1" hidden="1">3</definedName>
    <definedName name="solver_rel220" localSheetId="1" hidden="1">3</definedName>
    <definedName name="solver_rel221" localSheetId="1" hidden="1">1</definedName>
    <definedName name="solver_rel222" localSheetId="1" hidden="1">3</definedName>
    <definedName name="solver_rel223" localSheetId="1" hidden="1">1</definedName>
    <definedName name="solver_rel224" localSheetId="1" hidden="1">3</definedName>
    <definedName name="solver_rel225" localSheetId="1" hidden="1">1</definedName>
    <definedName name="solver_rel226" localSheetId="1" hidden="1">3</definedName>
    <definedName name="solver_rel227" localSheetId="1" hidden="1">1</definedName>
    <definedName name="solver_rel228" localSheetId="1" hidden="1">3</definedName>
    <definedName name="solver_rel229" localSheetId="1" hidden="1">1</definedName>
    <definedName name="solver_rel23" localSheetId="1" hidden="1">1</definedName>
    <definedName name="solver_rel230" localSheetId="1" hidden="1">3</definedName>
    <definedName name="solver_rel231" localSheetId="1" hidden="1">1</definedName>
    <definedName name="solver_rel232" localSheetId="1" hidden="1">3</definedName>
    <definedName name="solver_rel233" localSheetId="1" hidden="1">1</definedName>
    <definedName name="solver_rel234" localSheetId="1" hidden="1">3</definedName>
    <definedName name="solver_rel235" localSheetId="1" hidden="1">1</definedName>
    <definedName name="solver_rel236" localSheetId="1" hidden="1">3</definedName>
    <definedName name="solver_rel237" localSheetId="1" hidden="1">1</definedName>
    <definedName name="solver_rel238" localSheetId="1" hidden="1">3</definedName>
    <definedName name="solver_rel239" localSheetId="1" hidden="1">1</definedName>
    <definedName name="solver_rel24" localSheetId="1" hidden="1">3</definedName>
    <definedName name="solver_rel240" localSheetId="1" hidden="1">3</definedName>
    <definedName name="solver_rel241" localSheetId="1" hidden="1">1</definedName>
    <definedName name="solver_rel242" localSheetId="1" hidden="1">3</definedName>
    <definedName name="solver_rel243" localSheetId="1" hidden="1">1</definedName>
    <definedName name="solver_rel244" localSheetId="1" hidden="1">3</definedName>
    <definedName name="solver_rel245" localSheetId="1" hidden="1">1</definedName>
    <definedName name="solver_rel246" localSheetId="1" hidden="1">3</definedName>
    <definedName name="solver_rel247" localSheetId="1" hidden="1">1</definedName>
    <definedName name="solver_rel248" localSheetId="1" hidden="1">3</definedName>
    <definedName name="solver_rel249" localSheetId="1" hidden="1">1</definedName>
    <definedName name="solver_rel25" localSheetId="1" hidden="1">1</definedName>
    <definedName name="solver_rel250" localSheetId="1" hidden="1">3</definedName>
    <definedName name="solver_rel251" localSheetId="1" hidden="1">1</definedName>
    <definedName name="solver_rel252" localSheetId="1" hidden="1">3</definedName>
    <definedName name="solver_rel253" localSheetId="1" hidden="1">1</definedName>
    <definedName name="solver_rel254" localSheetId="1" hidden="1">3</definedName>
    <definedName name="solver_rel26" localSheetId="1" hidden="1">3</definedName>
    <definedName name="solver_rel27" localSheetId="1" hidden="1">1</definedName>
    <definedName name="solver_rel28" localSheetId="1" hidden="1">3</definedName>
    <definedName name="solver_rel29" localSheetId="1" hidden="1">1</definedName>
    <definedName name="solver_rel3" localSheetId="1" hidden="1">1</definedName>
    <definedName name="solver_rel30" localSheetId="1" hidden="1">3</definedName>
    <definedName name="solver_rel31" localSheetId="1" hidden="1">1</definedName>
    <definedName name="solver_rel32" localSheetId="1" hidden="1">3</definedName>
    <definedName name="solver_rel33" localSheetId="1" hidden="1">1</definedName>
    <definedName name="solver_rel34" localSheetId="1" hidden="1">3</definedName>
    <definedName name="solver_rel35" localSheetId="1" hidden="1">1</definedName>
    <definedName name="solver_rel36" localSheetId="1" hidden="1">3</definedName>
    <definedName name="solver_rel37" localSheetId="1" hidden="1">1</definedName>
    <definedName name="solver_rel38" localSheetId="1" hidden="1">3</definedName>
    <definedName name="solver_rel39" localSheetId="1" hidden="1">1</definedName>
    <definedName name="solver_rel4" localSheetId="1" hidden="1">3</definedName>
    <definedName name="solver_rel40" localSheetId="1" hidden="1">3</definedName>
    <definedName name="solver_rel41" localSheetId="1" hidden="1">1</definedName>
    <definedName name="solver_rel42" localSheetId="1" hidden="1">3</definedName>
    <definedName name="solver_rel43" localSheetId="1" hidden="1">1</definedName>
    <definedName name="solver_rel44" localSheetId="1" hidden="1">3</definedName>
    <definedName name="solver_rel45" localSheetId="1" hidden="1">1</definedName>
    <definedName name="solver_rel46" localSheetId="1" hidden="1">3</definedName>
    <definedName name="solver_rel47" localSheetId="1" hidden="1">1</definedName>
    <definedName name="solver_rel48" localSheetId="1" hidden="1">3</definedName>
    <definedName name="solver_rel49" localSheetId="1" hidden="1">1</definedName>
    <definedName name="solver_rel5" localSheetId="1" hidden="1">1</definedName>
    <definedName name="solver_rel50" localSheetId="1" hidden="1">3</definedName>
    <definedName name="solver_rel51" localSheetId="1" hidden="1">1</definedName>
    <definedName name="solver_rel52" localSheetId="1" hidden="1">3</definedName>
    <definedName name="solver_rel53" localSheetId="1" hidden="1">1</definedName>
    <definedName name="solver_rel54" localSheetId="1" hidden="1">3</definedName>
    <definedName name="solver_rel55" localSheetId="1" hidden="1">1</definedName>
    <definedName name="solver_rel56" localSheetId="1" hidden="1">3</definedName>
    <definedName name="solver_rel57" localSheetId="1" hidden="1">1</definedName>
    <definedName name="solver_rel58" localSheetId="1" hidden="1">3</definedName>
    <definedName name="solver_rel59" localSheetId="1" hidden="1">1</definedName>
    <definedName name="solver_rel6" localSheetId="1" hidden="1">3</definedName>
    <definedName name="solver_rel60" localSheetId="1" hidden="1">3</definedName>
    <definedName name="solver_rel61" localSheetId="1" hidden="1">1</definedName>
    <definedName name="solver_rel62" localSheetId="1" hidden="1">3</definedName>
    <definedName name="solver_rel63" localSheetId="1" hidden="1">1</definedName>
    <definedName name="solver_rel64" localSheetId="1" hidden="1">3</definedName>
    <definedName name="solver_rel65" localSheetId="1" hidden="1">1</definedName>
    <definedName name="solver_rel66" localSheetId="1" hidden="1">3</definedName>
    <definedName name="solver_rel67" localSheetId="1" hidden="1">1</definedName>
    <definedName name="solver_rel68" localSheetId="1" hidden="1">3</definedName>
    <definedName name="solver_rel69" localSheetId="1" hidden="1">1</definedName>
    <definedName name="solver_rel7" localSheetId="1" hidden="1">1</definedName>
    <definedName name="solver_rel70" localSheetId="1" hidden="1">3</definedName>
    <definedName name="solver_rel71" localSheetId="1" hidden="1">1</definedName>
    <definedName name="solver_rel72" localSheetId="1" hidden="1">3</definedName>
    <definedName name="solver_rel73" localSheetId="1" hidden="1">1</definedName>
    <definedName name="solver_rel74" localSheetId="1" hidden="1">3</definedName>
    <definedName name="solver_rel75" localSheetId="1" hidden="1">1</definedName>
    <definedName name="solver_rel76" localSheetId="1" hidden="1">3</definedName>
    <definedName name="solver_rel77" localSheetId="1" hidden="1">1</definedName>
    <definedName name="solver_rel78" localSheetId="1" hidden="1">3</definedName>
    <definedName name="solver_rel79" localSheetId="1" hidden="1">1</definedName>
    <definedName name="solver_rel8" localSheetId="1" hidden="1">3</definedName>
    <definedName name="solver_rel80" localSheetId="1" hidden="1">3</definedName>
    <definedName name="solver_rel81" localSheetId="1" hidden="1">1</definedName>
    <definedName name="solver_rel82" localSheetId="1" hidden="1">3</definedName>
    <definedName name="solver_rel83" localSheetId="1" hidden="1">1</definedName>
    <definedName name="solver_rel84" localSheetId="1" hidden="1">3</definedName>
    <definedName name="solver_rel85" localSheetId="1" hidden="1">1</definedName>
    <definedName name="solver_rel86" localSheetId="1" hidden="1">3</definedName>
    <definedName name="solver_rel87" localSheetId="1" hidden="1">1</definedName>
    <definedName name="solver_rel88" localSheetId="1" hidden="1">3</definedName>
    <definedName name="solver_rel89" localSheetId="1" hidden="1">1</definedName>
    <definedName name="solver_rel9" localSheetId="1" hidden="1">1</definedName>
    <definedName name="solver_rel90" localSheetId="1" hidden="1">3</definedName>
    <definedName name="solver_rel91" localSheetId="1" hidden="1">1</definedName>
    <definedName name="solver_rel92" localSheetId="1" hidden="1">3</definedName>
    <definedName name="solver_rel93" localSheetId="1" hidden="1">1</definedName>
    <definedName name="solver_rel94" localSheetId="1" hidden="1">3</definedName>
    <definedName name="solver_rel95" localSheetId="1" hidden="1">1</definedName>
    <definedName name="solver_rel96" localSheetId="1" hidden="1">3</definedName>
    <definedName name="solver_rel97" localSheetId="1" hidden="1">1</definedName>
    <definedName name="solver_rel98" localSheetId="1" hidden="1">3</definedName>
    <definedName name="solver_rel99" localSheetId="1" hidden="1">1</definedName>
    <definedName name="solver_rhs1" localSheetId="1" hidden="1">Supply</definedName>
    <definedName name="solver_rhs1" localSheetId="3" hidden="1">Supply</definedName>
    <definedName name="solver_rhs1" localSheetId="0" hidden="1">'Solver-VBA'!$E$5:$E$7</definedName>
    <definedName name="solver_rhs10" localSheetId="1" hidden="1">Demand</definedName>
    <definedName name="solver_rhs100" localSheetId="1" hidden="1">Demand</definedName>
    <definedName name="solver_rhs101" localSheetId="1" hidden="1">Supply</definedName>
    <definedName name="solver_rhs102" localSheetId="1" hidden="1">Demand</definedName>
    <definedName name="solver_rhs103" localSheetId="1" hidden="1">Supply</definedName>
    <definedName name="solver_rhs104" localSheetId="1" hidden="1">Demand</definedName>
    <definedName name="solver_rhs105" localSheetId="1" hidden="1">Supply</definedName>
    <definedName name="solver_rhs106" localSheetId="1" hidden="1">Demand</definedName>
    <definedName name="solver_rhs107" localSheetId="1" hidden="1">Supply</definedName>
    <definedName name="solver_rhs108" localSheetId="1" hidden="1">Demand</definedName>
    <definedName name="solver_rhs109" localSheetId="1" hidden="1">Supply</definedName>
    <definedName name="solver_rhs11" localSheetId="1" hidden="1">Supply</definedName>
    <definedName name="solver_rhs110" localSheetId="1" hidden="1">Demand</definedName>
    <definedName name="solver_rhs111" localSheetId="1" hidden="1">Supply</definedName>
    <definedName name="solver_rhs112" localSheetId="1" hidden="1">Demand</definedName>
    <definedName name="solver_rhs113" localSheetId="1" hidden="1">Supply</definedName>
    <definedName name="solver_rhs114" localSheetId="1" hidden="1">Demand</definedName>
    <definedName name="solver_rhs115" localSheetId="1" hidden="1">Supply</definedName>
    <definedName name="solver_rhs116" localSheetId="1" hidden="1">Demand</definedName>
    <definedName name="solver_rhs117" localSheetId="1" hidden="1">Supply</definedName>
    <definedName name="solver_rhs118" localSheetId="1" hidden="1">Demand</definedName>
    <definedName name="solver_rhs119" localSheetId="1" hidden="1">Supply</definedName>
    <definedName name="solver_rhs12" localSheetId="1" hidden="1">Demand</definedName>
    <definedName name="solver_rhs120" localSheetId="1" hidden="1">Demand</definedName>
    <definedName name="solver_rhs121" localSheetId="1" hidden="1">Supply</definedName>
    <definedName name="solver_rhs122" localSheetId="1" hidden="1">Demand</definedName>
    <definedName name="solver_rhs123" localSheetId="1" hidden="1">Supply</definedName>
    <definedName name="solver_rhs124" localSheetId="1" hidden="1">Demand</definedName>
    <definedName name="solver_rhs125" localSheetId="1" hidden="1">Supply</definedName>
    <definedName name="solver_rhs126" localSheetId="1" hidden="1">Demand</definedName>
    <definedName name="solver_rhs127" localSheetId="1" hidden="1">Supply</definedName>
    <definedName name="solver_rhs128" localSheetId="1" hidden="1">Demand</definedName>
    <definedName name="solver_rhs129" localSheetId="1" hidden="1">Supply</definedName>
    <definedName name="solver_rhs13" localSheetId="1" hidden="1">Supply</definedName>
    <definedName name="solver_rhs130" localSheetId="1" hidden="1">Demand</definedName>
    <definedName name="solver_rhs131" localSheetId="1" hidden="1">Supply</definedName>
    <definedName name="solver_rhs132" localSheetId="1" hidden="1">Demand</definedName>
    <definedName name="solver_rhs133" localSheetId="1" hidden="1">Supply</definedName>
    <definedName name="solver_rhs134" localSheetId="1" hidden="1">Demand</definedName>
    <definedName name="solver_rhs135" localSheetId="1" hidden="1">Supply</definedName>
    <definedName name="solver_rhs136" localSheetId="1" hidden="1">Demand</definedName>
    <definedName name="solver_rhs137" localSheetId="1" hidden="1">Supply</definedName>
    <definedName name="solver_rhs138" localSheetId="1" hidden="1">Demand</definedName>
    <definedName name="solver_rhs139" localSheetId="1" hidden="1">Supply</definedName>
    <definedName name="solver_rhs14" localSheetId="1" hidden="1">Demand</definedName>
    <definedName name="solver_rhs140" localSheetId="1" hidden="1">Demand</definedName>
    <definedName name="solver_rhs141" localSheetId="1" hidden="1">Supply</definedName>
    <definedName name="solver_rhs142" localSheetId="1" hidden="1">Demand</definedName>
    <definedName name="solver_rhs143" localSheetId="1" hidden="1">Supply</definedName>
    <definedName name="solver_rhs144" localSheetId="1" hidden="1">Demand</definedName>
    <definedName name="solver_rhs145" localSheetId="1" hidden="1">Supply</definedName>
    <definedName name="solver_rhs146" localSheetId="1" hidden="1">Demand</definedName>
    <definedName name="solver_rhs147" localSheetId="1" hidden="1">Supply</definedName>
    <definedName name="solver_rhs148" localSheetId="1" hidden="1">Demand</definedName>
    <definedName name="solver_rhs149" localSheetId="1" hidden="1">Supply</definedName>
    <definedName name="solver_rhs15" localSheetId="1" hidden="1">Supply</definedName>
    <definedName name="solver_rhs150" localSheetId="1" hidden="1">Demand</definedName>
    <definedName name="solver_rhs151" localSheetId="1" hidden="1">Supply</definedName>
    <definedName name="solver_rhs152" localSheetId="1" hidden="1">Demand</definedName>
    <definedName name="solver_rhs153" localSheetId="1" hidden="1">Supply</definedName>
    <definedName name="solver_rhs154" localSheetId="1" hidden="1">Demand</definedName>
    <definedName name="solver_rhs155" localSheetId="1" hidden="1">Supply</definedName>
    <definedName name="solver_rhs156" localSheetId="1" hidden="1">Demand</definedName>
    <definedName name="solver_rhs157" localSheetId="1" hidden="1">Supply</definedName>
    <definedName name="solver_rhs158" localSheetId="1" hidden="1">Demand</definedName>
    <definedName name="solver_rhs159" localSheetId="1" hidden="1">Supply</definedName>
    <definedName name="solver_rhs16" localSheetId="1" hidden="1">Demand</definedName>
    <definedName name="solver_rhs160" localSheetId="1" hidden="1">Demand</definedName>
    <definedName name="solver_rhs161" localSheetId="1" hidden="1">Supply</definedName>
    <definedName name="solver_rhs162" localSheetId="1" hidden="1">Demand</definedName>
    <definedName name="solver_rhs163" localSheetId="1" hidden="1">Supply</definedName>
    <definedName name="solver_rhs164" localSheetId="1" hidden="1">Demand</definedName>
    <definedName name="solver_rhs165" localSheetId="1" hidden="1">Supply</definedName>
    <definedName name="solver_rhs166" localSheetId="1" hidden="1">Demand</definedName>
    <definedName name="solver_rhs167" localSheetId="1" hidden="1">Supply</definedName>
    <definedName name="solver_rhs168" localSheetId="1" hidden="1">Demand</definedName>
    <definedName name="solver_rhs169" localSheetId="1" hidden="1">Supply</definedName>
    <definedName name="solver_rhs17" localSheetId="1" hidden="1">Supply</definedName>
    <definedName name="solver_rhs170" localSheetId="1" hidden="1">Demand</definedName>
    <definedName name="solver_rhs171" localSheetId="1" hidden="1">Supply</definedName>
    <definedName name="solver_rhs172" localSheetId="1" hidden="1">Demand</definedName>
    <definedName name="solver_rhs173" localSheetId="1" hidden="1">Supply</definedName>
    <definedName name="solver_rhs174" localSheetId="1" hidden="1">Demand</definedName>
    <definedName name="solver_rhs175" localSheetId="1" hidden="1">Supply</definedName>
    <definedName name="solver_rhs176" localSheetId="1" hidden="1">Demand</definedName>
    <definedName name="solver_rhs177" localSheetId="1" hidden="1">Supply</definedName>
    <definedName name="solver_rhs178" localSheetId="1" hidden="1">Demand</definedName>
    <definedName name="solver_rhs179" localSheetId="1" hidden="1">Supply</definedName>
    <definedName name="solver_rhs18" localSheetId="1" hidden="1">Demand</definedName>
    <definedName name="solver_rhs180" localSheetId="1" hidden="1">Demand</definedName>
    <definedName name="solver_rhs181" localSheetId="1" hidden="1">Supply</definedName>
    <definedName name="solver_rhs182" localSheetId="1" hidden="1">Demand</definedName>
    <definedName name="solver_rhs183" localSheetId="1" hidden="1">Supply</definedName>
    <definedName name="solver_rhs184" localSheetId="1" hidden="1">Demand</definedName>
    <definedName name="solver_rhs185" localSheetId="1" hidden="1">Supply</definedName>
    <definedName name="solver_rhs186" localSheetId="1" hidden="1">Demand</definedName>
    <definedName name="solver_rhs187" localSheetId="1" hidden="1">Supply</definedName>
    <definedName name="solver_rhs188" localSheetId="1" hidden="1">Demand</definedName>
    <definedName name="solver_rhs189" localSheetId="1" hidden="1">Supply</definedName>
    <definedName name="solver_rhs19" localSheetId="1" hidden="1">Supply</definedName>
    <definedName name="solver_rhs190" localSheetId="1" hidden="1">Demand</definedName>
    <definedName name="solver_rhs191" localSheetId="1" hidden="1">Supply</definedName>
    <definedName name="solver_rhs192" localSheetId="1" hidden="1">Demand</definedName>
    <definedName name="solver_rhs193" localSheetId="1" hidden="1">Supply</definedName>
    <definedName name="solver_rhs194" localSheetId="1" hidden="1">Demand</definedName>
    <definedName name="solver_rhs195" localSheetId="1" hidden="1">Supply</definedName>
    <definedName name="solver_rhs196" localSheetId="1" hidden="1">Demand</definedName>
    <definedName name="solver_rhs197" localSheetId="1" hidden="1">Supply</definedName>
    <definedName name="solver_rhs198" localSheetId="1" hidden="1">Demand</definedName>
    <definedName name="solver_rhs199" localSheetId="1" hidden="1">Supply</definedName>
    <definedName name="solver_rhs2" localSheetId="1" hidden="1">Demand</definedName>
    <definedName name="solver_rhs2" localSheetId="3" hidden="1">Demand</definedName>
    <definedName name="solver_rhs2" localSheetId="0" hidden="1">'Solver-VBA'!$B$8:$D$8</definedName>
    <definedName name="solver_rhs20" localSheetId="1" hidden="1">Demand</definedName>
    <definedName name="solver_rhs200" localSheetId="1" hidden="1">Demand</definedName>
    <definedName name="solver_rhs201" localSheetId="1" hidden="1">Supply</definedName>
    <definedName name="solver_rhs202" localSheetId="1" hidden="1">Demand</definedName>
    <definedName name="solver_rhs203" localSheetId="1" hidden="1">Supply</definedName>
    <definedName name="solver_rhs204" localSheetId="1" hidden="1">Demand</definedName>
    <definedName name="solver_rhs205" localSheetId="1" hidden="1">Supply</definedName>
    <definedName name="solver_rhs206" localSheetId="1" hidden="1">Demand</definedName>
    <definedName name="solver_rhs207" localSheetId="1" hidden="1">Supply</definedName>
    <definedName name="solver_rhs208" localSheetId="1" hidden="1">Demand</definedName>
    <definedName name="solver_rhs209" localSheetId="1" hidden="1">Supply</definedName>
    <definedName name="solver_rhs21" localSheetId="1" hidden="1">Supply</definedName>
    <definedName name="solver_rhs210" localSheetId="1" hidden="1">Demand</definedName>
    <definedName name="solver_rhs211" localSheetId="1" hidden="1">Supply</definedName>
    <definedName name="solver_rhs212" localSheetId="1" hidden="1">Demand</definedName>
    <definedName name="solver_rhs213" localSheetId="1" hidden="1">Supply</definedName>
    <definedName name="solver_rhs214" localSheetId="1" hidden="1">Demand</definedName>
    <definedName name="solver_rhs215" localSheetId="1" hidden="1">Supply</definedName>
    <definedName name="solver_rhs216" localSheetId="1" hidden="1">Demand</definedName>
    <definedName name="solver_rhs217" localSheetId="1" hidden="1">Supply</definedName>
    <definedName name="solver_rhs218" localSheetId="1" hidden="1">Demand</definedName>
    <definedName name="solver_rhs219" localSheetId="1" hidden="1">Supply</definedName>
    <definedName name="solver_rhs22" localSheetId="1" hidden="1">Demand</definedName>
    <definedName name="solver_rhs220" localSheetId="1" hidden="1">Demand</definedName>
    <definedName name="solver_rhs221" localSheetId="1" hidden="1">Supply</definedName>
    <definedName name="solver_rhs222" localSheetId="1" hidden="1">Demand</definedName>
    <definedName name="solver_rhs223" localSheetId="1" hidden="1">Supply</definedName>
    <definedName name="solver_rhs224" localSheetId="1" hidden="1">Demand</definedName>
    <definedName name="solver_rhs225" localSheetId="1" hidden="1">Supply</definedName>
    <definedName name="solver_rhs226" localSheetId="1" hidden="1">Demand</definedName>
    <definedName name="solver_rhs227" localSheetId="1" hidden="1">Supply</definedName>
    <definedName name="solver_rhs228" localSheetId="1" hidden="1">Demand</definedName>
    <definedName name="solver_rhs229" localSheetId="1" hidden="1">Supply</definedName>
    <definedName name="solver_rhs23" localSheetId="1" hidden="1">Supply</definedName>
    <definedName name="solver_rhs230" localSheetId="1" hidden="1">Demand</definedName>
    <definedName name="solver_rhs231" localSheetId="1" hidden="1">Supply</definedName>
    <definedName name="solver_rhs232" localSheetId="1" hidden="1">Demand</definedName>
    <definedName name="solver_rhs233" localSheetId="1" hidden="1">Supply</definedName>
    <definedName name="solver_rhs234" localSheetId="1" hidden="1">Demand</definedName>
    <definedName name="solver_rhs235" localSheetId="1" hidden="1">Supply</definedName>
    <definedName name="solver_rhs236" localSheetId="1" hidden="1">Demand</definedName>
    <definedName name="solver_rhs237" localSheetId="1" hidden="1">Supply</definedName>
    <definedName name="solver_rhs238" localSheetId="1" hidden="1">Demand</definedName>
    <definedName name="solver_rhs239" localSheetId="1" hidden="1">Supply</definedName>
    <definedName name="solver_rhs24" localSheetId="1" hidden="1">Demand</definedName>
    <definedName name="solver_rhs240" localSheetId="1" hidden="1">Demand</definedName>
    <definedName name="solver_rhs241" localSheetId="1" hidden="1">Supply</definedName>
    <definedName name="solver_rhs242" localSheetId="1" hidden="1">Demand</definedName>
    <definedName name="solver_rhs243" localSheetId="1" hidden="1">Supply</definedName>
    <definedName name="solver_rhs244" localSheetId="1" hidden="1">Demand</definedName>
    <definedName name="solver_rhs245" localSheetId="1" hidden="1">Supply</definedName>
    <definedName name="solver_rhs246" localSheetId="1" hidden="1">Demand</definedName>
    <definedName name="solver_rhs247" localSheetId="1" hidden="1">Supply</definedName>
    <definedName name="solver_rhs248" localSheetId="1" hidden="1">Demand</definedName>
    <definedName name="solver_rhs249" localSheetId="1" hidden="1">Supply</definedName>
    <definedName name="solver_rhs25" localSheetId="1" hidden="1">Supply</definedName>
    <definedName name="solver_rhs250" localSheetId="1" hidden="1">Demand</definedName>
    <definedName name="solver_rhs251" localSheetId="1" hidden="1">Supply</definedName>
    <definedName name="solver_rhs252" localSheetId="1" hidden="1">Demand</definedName>
    <definedName name="solver_rhs253" localSheetId="1" hidden="1">Supply</definedName>
    <definedName name="solver_rhs254" localSheetId="1" hidden="1">Demand</definedName>
    <definedName name="solver_rhs26" localSheetId="1" hidden="1">Demand</definedName>
    <definedName name="solver_rhs27" localSheetId="1" hidden="1">Supply</definedName>
    <definedName name="solver_rhs28" localSheetId="1" hidden="1">Demand</definedName>
    <definedName name="solver_rhs29" localSheetId="1" hidden="1">Supply</definedName>
    <definedName name="solver_rhs3" localSheetId="1" hidden="1">Supply</definedName>
    <definedName name="solver_rhs30" localSheetId="1" hidden="1">Demand</definedName>
    <definedName name="solver_rhs31" localSheetId="1" hidden="1">Supply</definedName>
    <definedName name="solver_rhs32" localSheetId="1" hidden="1">Demand</definedName>
    <definedName name="solver_rhs33" localSheetId="1" hidden="1">Supply</definedName>
    <definedName name="solver_rhs34" localSheetId="1" hidden="1">Demand</definedName>
    <definedName name="solver_rhs35" localSheetId="1" hidden="1">Supply</definedName>
    <definedName name="solver_rhs36" localSheetId="1" hidden="1">Demand</definedName>
    <definedName name="solver_rhs37" localSheetId="1" hidden="1">Supply</definedName>
    <definedName name="solver_rhs38" localSheetId="1" hidden="1">Demand</definedName>
    <definedName name="solver_rhs39" localSheetId="1" hidden="1">Supply</definedName>
    <definedName name="solver_rhs4" localSheetId="1" hidden="1">Demand</definedName>
    <definedName name="solver_rhs40" localSheetId="1" hidden="1">Demand</definedName>
    <definedName name="solver_rhs41" localSheetId="1" hidden="1">Supply</definedName>
    <definedName name="solver_rhs42" localSheetId="1" hidden="1">Demand</definedName>
    <definedName name="solver_rhs43" localSheetId="1" hidden="1">Supply</definedName>
    <definedName name="solver_rhs44" localSheetId="1" hidden="1">Demand</definedName>
    <definedName name="solver_rhs45" localSheetId="1" hidden="1">Supply</definedName>
    <definedName name="solver_rhs46" localSheetId="1" hidden="1">Demand</definedName>
    <definedName name="solver_rhs47" localSheetId="1" hidden="1">Supply</definedName>
    <definedName name="solver_rhs48" localSheetId="1" hidden="1">Demand</definedName>
    <definedName name="solver_rhs49" localSheetId="1" hidden="1">Supply</definedName>
    <definedName name="solver_rhs5" localSheetId="1" hidden="1">Supply</definedName>
    <definedName name="solver_rhs50" localSheetId="1" hidden="1">Demand</definedName>
    <definedName name="solver_rhs51" localSheetId="1" hidden="1">Supply</definedName>
    <definedName name="solver_rhs52" localSheetId="1" hidden="1">Demand</definedName>
    <definedName name="solver_rhs53" localSheetId="1" hidden="1">Supply</definedName>
    <definedName name="solver_rhs54" localSheetId="1" hidden="1">Demand</definedName>
    <definedName name="solver_rhs55" localSheetId="1" hidden="1">Supply</definedName>
    <definedName name="solver_rhs56" localSheetId="1" hidden="1">Demand</definedName>
    <definedName name="solver_rhs57" localSheetId="1" hidden="1">Supply</definedName>
    <definedName name="solver_rhs58" localSheetId="1" hidden="1">Demand</definedName>
    <definedName name="solver_rhs59" localSheetId="1" hidden="1">Supply</definedName>
    <definedName name="solver_rhs6" localSheetId="1" hidden="1">Demand</definedName>
    <definedName name="solver_rhs60" localSheetId="1" hidden="1">Demand</definedName>
    <definedName name="solver_rhs61" localSheetId="1" hidden="1">Supply</definedName>
    <definedName name="solver_rhs62" localSheetId="1" hidden="1">Demand</definedName>
    <definedName name="solver_rhs63" localSheetId="1" hidden="1">Supply</definedName>
    <definedName name="solver_rhs64" localSheetId="1" hidden="1">Demand</definedName>
    <definedName name="solver_rhs65" localSheetId="1" hidden="1">Supply</definedName>
    <definedName name="solver_rhs66" localSheetId="1" hidden="1">Demand</definedName>
    <definedName name="solver_rhs67" localSheetId="1" hidden="1">Supply</definedName>
    <definedName name="solver_rhs68" localSheetId="1" hidden="1">Demand</definedName>
    <definedName name="solver_rhs69" localSheetId="1" hidden="1">Supply</definedName>
    <definedName name="solver_rhs7" localSheetId="1" hidden="1">Supply</definedName>
    <definedName name="solver_rhs70" localSheetId="1" hidden="1">Demand</definedName>
    <definedName name="solver_rhs71" localSheetId="1" hidden="1">Supply</definedName>
    <definedName name="solver_rhs72" localSheetId="1" hidden="1">Demand</definedName>
    <definedName name="solver_rhs73" localSheetId="1" hidden="1">Supply</definedName>
    <definedName name="solver_rhs74" localSheetId="1" hidden="1">Demand</definedName>
    <definedName name="solver_rhs75" localSheetId="1" hidden="1">Supply</definedName>
    <definedName name="solver_rhs76" localSheetId="1" hidden="1">Demand</definedName>
    <definedName name="solver_rhs77" localSheetId="1" hidden="1">Supply</definedName>
    <definedName name="solver_rhs78" localSheetId="1" hidden="1">Demand</definedName>
    <definedName name="solver_rhs79" localSheetId="1" hidden="1">Supply</definedName>
    <definedName name="solver_rhs8" localSheetId="1" hidden="1">Demand</definedName>
    <definedName name="solver_rhs80" localSheetId="1" hidden="1">Demand</definedName>
    <definedName name="solver_rhs81" localSheetId="1" hidden="1">Supply</definedName>
    <definedName name="solver_rhs82" localSheetId="1" hidden="1">Demand</definedName>
    <definedName name="solver_rhs83" localSheetId="1" hidden="1">Supply</definedName>
    <definedName name="solver_rhs84" localSheetId="1" hidden="1">Demand</definedName>
    <definedName name="solver_rhs85" localSheetId="1" hidden="1">Supply</definedName>
    <definedName name="solver_rhs86" localSheetId="1" hidden="1">Demand</definedName>
    <definedName name="solver_rhs87" localSheetId="1" hidden="1">Supply</definedName>
    <definedName name="solver_rhs88" localSheetId="1" hidden="1">Demand</definedName>
    <definedName name="solver_rhs89" localSheetId="1" hidden="1">Supply</definedName>
    <definedName name="solver_rhs9" localSheetId="1" hidden="1">Supply</definedName>
    <definedName name="solver_rhs90" localSheetId="1" hidden="1">Demand</definedName>
    <definedName name="solver_rhs91" localSheetId="1" hidden="1">Supply</definedName>
    <definedName name="solver_rhs92" localSheetId="1" hidden="1">Demand</definedName>
    <definedName name="solver_rhs93" localSheetId="1" hidden="1">Supply</definedName>
    <definedName name="solver_rhs94" localSheetId="1" hidden="1">Demand</definedName>
    <definedName name="solver_rhs95" localSheetId="1" hidden="1">Supply</definedName>
    <definedName name="solver_rhs96" localSheetId="1" hidden="1">Demand</definedName>
    <definedName name="solver_rhs97" localSheetId="1" hidden="1">Supply</definedName>
    <definedName name="solver_rhs98" localSheetId="1" hidden="1">Demand</definedName>
    <definedName name="solver_rhs99" localSheetId="1" hidden="1">Supply</definedName>
    <definedName name="solver_typ" localSheetId="1" hidden="1">2</definedName>
    <definedName name="solver_typ" localSheetId="3" hidden="1">2</definedName>
    <definedName name="solver_typ" localSheetId="0" hidden="1">2</definedName>
    <definedName name="solver_val" localSheetId="1" hidden="1">0</definedName>
    <definedName name="solver_val" localSheetId="3" hidden="1">0</definedName>
    <definedName name="solver_val" localSheetId="0" hidden="1">0</definedName>
    <definedName name="solver_ver" localSheetId="1" hidden="1">3</definedName>
    <definedName name="solver_ver" localSheetId="3" hidden="1">3</definedName>
    <definedName name="solver_ver" localSheetId="0" hidden="1">3</definedName>
    <definedName name="Supply">EX_4Model!$I$13:$I$15</definedName>
    <definedName name="TotalCost">EX_4Model!$B$20</definedName>
    <definedName name="UnitCost">EX_4Model!$C$6:$F$8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0" l="1"/>
  <c r="G14" i="10"/>
  <c r="G13" i="10"/>
  <c r="B20" i="10"/>
  <c r="F16" i="10"/>
  <c r="E16" i="10"/>
  <c r="D16" i="10"/>
  <c r="C16" i="10"/>
</calcChain>
</file>

<file path=xl/sharedStrings.xml><?xml version="1.0" encoding="utf-8"?>
<sst xmlns="http://schemas.openxmlformats.org/spreadsheetml/2006/main" count="75" uniqueCount="32">
  <si>
    <t>&lt;=</t>
  </si>
  <si>
    <t>Supply</t>
  </si>
  <si>
    <t>Demand</t>
  </si>
  <si>
    <t>&gt;=</t>
  </si>
  <si>
    <t>Transportation model</t>
  </si>
  <si>
    <t>Unit shipping costs</t>
  </si>
  <si>
    <t>Range Names:</t>
  </si>
  <si>
    <t>Shipped</t>
  </si>
  <si>
    <t>To</t>
  </si>
  <si>
    <t>ShippedFrom</t>
  </si>
  <si>
    <t>City 1</t>
  </si>
  <si>
    <t>City 2</t>
  </si>
  <si>
    <t>City 3</t>
  </si>
  <si>
    <t>City 4</t>
  </si>
  <si>
    <t>From</t>
  </si>
  <si>
    <t>Plant 1</t>
  </si>
  <si>
    <t>ShippedTo</t>
  </si>
  <si>
    <t>Plant 2</t>
  </si>
  <si>
    <t>Plant 3</t>
  </si>
  <si>
    <t>UnitCost</t>
  </si>
  <si>
    <t>TotalCost</t>
  </si>
  <si>
    <t>Shipments</t>
  </si>
  <si>
    <t>Total cost</t>
  </si>
  <si>
    <t>Possible scenarios</t>
  </si>
  <si>
    <t>Scenario 1</t>
  </si>
  <si>
    <t>Scenario 2</t>
  </si>
  <si>
    <t>Scenario 3</t>
  </si>
  <si>
    <t>Scenario 4</t>
  </si>
  <si>
    <t>Scenario 5</t>
  </si>
  <si>
    <t>Shipments and total cost for each scenario</t>
  </si>
  <si>
    <t>Total Cost</t>
  </si>
  <si>
    <t>Scenario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</si>
</sst>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;\-&quot;$&quot;#,##0"/>
    <numFmt numFmtId="165" formatCode="&quot;$&quot;#,##0"/>
    <numFmt numFmtId="166" formatCode="&quot;$&quot;#,###"/>
  </numFmts>
  <fonts count="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32859279152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44" fontId="1" fillId="0" borderId="0" applyFont="0" applyFill="0" applyBorder="0" applyAlignment="0" applyProtection="0"/>
    <xf numFmtId="0" fontId="3" fillId="0" borderId="0"/>
  </cellStyleXfs>
  <cellXfs count="21">
    <xf numFmtId="0" fontId="0" fillId="0" borderId="0" xfId="0"/>
    <xf numFmtId="0" fontId="2" fillId="0" borderId="0" xfId="3" applyFont="1"/>
    <xf numFmtId="0" fontId="3" fillId="0" borderId="0" xfId="3"/>
    <xf numFmtId="0" fontId="4" fillId="0" borderId="0" xfId="3" applyFont="1"/>
    <xf numFmtId="0" fontId="1" fillId="0" borderId="0" xfId="3" applyFont="1" applyAlignment="1">
      <alignment horizontal="left"/>
    </xf>
    <xf numFmtId="0" fontId="3" fillId="0" borderId="0" xfId="3" applyAlignment="1">
      <alignment horizontal="centerContinuous"/>
    </xf>
    <xf numFmtId="0" fontId="3" fillId="0" borderId="0" xfId="3" applyAlignment="1">
      <alignment horizontal="right"/>
    </xf>
    <xf numFmtId="0" fontId="1" fillId="0" borderId="0" xfId="3" applyFont="1"/>
    <xf numFmtId="164" fontId="3" fillId="3" borderId="0" xfId="3" applyNumberFormat="1" applyFill="1"/>
    <xf numFmtId="0" fontId="3" fillId="0" borderId="0" xfId="3" quotePrefix="1" applyAlignment="1">
      <alignment horizontal="center"/>
    </xf>
    <xf numFmtId="0" fontId="3" fillId="5" borderId="0" xfId="3" applyFill="1"/>
    <xf numFmtId="0" fontId="3" fillId="0" borderId="0" xfId="3" quotePrefix="1" applyAlignment="1">
      <alignment horizontal="right"/>
    </xf>
    <xf numFmtId="9" fontId="3" fillId="0" borderId="0" xfId="3" applyNumberFormat="1"/>
    <xf numFmtId="0" fontId="2" fillId="0" borderId="0" xfId="3" applyFont="1" applyAlignment="1">
      <alignment horizontal="left"/>
    </xf>
    <xf numFmtId="0" fontId="1" fillId="2" borderId="0" xfId="3" applyFont="1" applyFill="1"/>
    <xf numFmtId="165" fontId="3" fillId="0" borderId="0" xfId="3" applyNumberFormat="1"/>
    <xf numFmtId="164" fontId="3" fillId="0" borderId="0" xfId="3" applyNumberFormat="1"/>
    <xf numFmtId="0" fontId="3" fillId="4" borderId="0" xfId="3" applyFill="1"/>
    <xf numFmtId="5" fontId="3" fillId="6" borderId="0" xfId="3" applyNumberFormat="1" applyFill="1"/>
    <xf numFmtId="0" fontId="3" fillId="2" borderId="0" xfId="3" applyFill="1"/>
    <xf numFmtId="166" fontId="3" fillId="0" borderId="0" xfId="3" applyNumberFormat="1"/>
  </cellXfs>
  <cellStyles count="4">
    <cellStyle name="Currency 2" xfId="2" xr:uid="{00000000-0005-0000-0000-000000000000}"/>
    <cellStyle name="Normal" xfId="0" builtinId="0"/>
    <cellStyle name="Normal 2" xfId="1" xr:uid="{00000000-0005-0000-0000-000002000000}"/>
    <cellStyle name="Normal 3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1</xdr:row>
      <xdr:rowOff>114300</xdr:rowOff>
    </xdr:from>
    <xdr:to>
      <xdr:col>10</xdr:col>
      <xdr:colOff>277289</xdr:colOff>
      <xdr:row>40</xdr:row>
      <xdr:rowOff>142875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76225"/>
          <a:ext cx="6268514" cy="6343650"/>
        </a:xfrm>
        <a:prstGeom prst="rect">
          <a:avLst/>
        </a:prstGeom>
      </xdr:spPr>
    </xdr:pic>
    <xdr:clientData/>
  </xdr:twoCellAnchor>
  <xdr:oneCellAnchor>
    <xdr:from>
      <xdr:col>10</xdr:col>
      <xdr:colOff>304800</xdr:colOff>
      <xdr:row>3</xdr:row>
      <xdr:rowOff>76200</xdr:rowOff>
    </xdr:from>
    <xdr:ext cx="9024265" cy="40543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6400800" y="561975"/>
          <a:ext cx="902426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SolverOK  </a:t>
          </a:r>
          <a:r>
            <a:rPr lang="en-US" sz="2000" baseline="0">
              <a:solidFill>
                <a:schemeClr val="tx2"/>
              </a:solidFill>
            </a:rPr>
            <a:t>SetCell:=Range("TotProfit")</a:t>
          </a:r>
          <a:r>
            <a:rPr lang="en-US" sz="2000"/>
            <a:t>, MaxMinVal:=1, </a:t>
          </a:r>
          <a:r>
            <a:rPr lang="en-US" sz="2000" baseline="0">
              <a:solidFill>
                <a:srgbClr val="00B050"/>
              </a:solidFill>
            </a:rPr>
            <a:t>ByChange:=Range("Produced")</a:t>
          </a:r>
        </a:p>
      </xdr:txBody>
    </xdr:sp>
    <xdr:clientData/>
  </xdr:oneCellAnchor>
  <xdr:twoCellAnchor>
    <xdr:from>
      <xdr:col>4</xdr:col>
      <xdr:colOff>285750</xdr:colOff>
      <xdr:row>6</xdr:row>
      <xdr:rowOff>0</xdr:rowOff>
    </xdr:from>
    <xdr:to>
      <xdr:col>15</xdr:col>
      <xdr:colOff>38100</xdr:colOff>
      <xdr:row>6</xdr:row>
      <xdr:rowOff>57150</xdr:rowOff>
    </xdr:to>
    <xdr:cxnSp macro="">
      <xdr:nvCxnSpPr>
        <xdr:cNvPr id="9" name="Curved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 rot="10800000" flipV="1">
          <a:off x="2724150" y="971550"/>
          <a:ext cx="6457950" cy="57150"/>
        </a:xfrm>
        <a:prstGeom prst="curvedConnector3">
          <a:avLst/>
        </a:prstGeom>
        <a:solidFill>
          <a:srgbClr val="FFFFFF"/>
        </a:solidFill>
        <a:ln w="25400" cap="flat" cmpd="sng" algn="ctr">
          <a:solidFill>
            <a:schemeClr val="tx2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</xdr:col>
      <xdr:colOff>161926</xdr:colOff>
      <xdr:row>5</xdr:row>
      <xdr:rowOff>95249</xdr:rowOff>
    </xdr:from>
    <xdr:to>
      <xdr:col>19</xdr:col>
      <xdr:colOff>38101</xdr:colOff>
      <xdr:row>8</xdr:row>
      <xdr:rowOff>133349</xdr:rowOff>
    </xdr:to>
    <xdr:cxnSp macro="">
      <xdr:nvCxnSpPr>
        <xdr:cNvPr id="11" name="Curved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 rot="10800000" flipV="1">
          <a:off x="1381126" y="904874"/>
          <a:ext cx="10239375" cy="523875"/>
        </a:xfrm>
        <a:prstGeom prst="curvedConnector3">
          <a:avLst>
            <a:gd name="adj1" fmla="val 1163"/>
          </a:avLst>
        </a:prstGeom>
        <a:solidFill>
          <a:srgbClr val="FFFFFF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266701</xdr:colOff>
      <xdr:row>5</xdr:row>
      <xdr:rowOff>85725</xdr:rowOff>
    </xdr:from>
    <xdr:to>
      <xdr:col>23</xdr:col>
      <xdr:colOff>85726</xdr:colOff>
      <xdr:row>12</xdr:row>
      <xdr:rowOff>57150</xdr:rowOff>
    </xdr:to>
    <xdr:cxnSp macro="">
      <xdr:nvCxnSpPr>
        <xdr:cNvPr id="14" name="Curved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 rot="10800000" flipV="1">
          <a:off x="876301" y="895350"/>
          <a:ext cx="13230225" cy="1104900"/>
        </a:xfrm>
        <a:prstGeom prst="curvedConnector3">
          <a:avLst>
            <a:gd name="adj1" fmla="val 11555"/>
          </a:avLst>
        </a:prstGeom>
        <a:solidFill>
          <a:srgbClr val="FFFFFF"/>
        </a:solidFill>
        <a:ln w="31750" cap="flat" cmpd="sng" algn="ctr">
          <a:solidFill>
            <a:srgbClr val="00B05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 editAs="oneCell">
    <xdr:from>
      <xdr:col>10</xdr:col>
      <xdr:colOff>552450</xdr:colOff>
      <xdr:row>16</xdr:row>
      <xdr:rowOff>76200</xdr:rowOff>
    </xdr:from>
    <xdr:to>
      <xdr:col>17</xdr:col>
      <xdr:colOff>380488</xdr:colOff>
      <xdr:row>25</xdr:row>
      <xdr:rowOff>114113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48450" y="2667000"/>
          <a:ext cx="4095238" cy="1495238"/>
        </a:xfrm>
        <a:prstGeom prst="rect">
          <a:avLst/>
        </a:prstGeom>
      </xdr:spPr>
    </xdr:pic>
    <xdr:clientData/>
  </xdr:twoCellAnchor>
  <xdr:oneCellAnchor>
    <xdr:from>
      <xdr:col>10</xdr:col>
      <xdr:colOff>352425</xdr:colOff>
      <xdr:row>13</xdr:row>
      <xdr:rowOff>19050</xdr:rowOff>
    </xdr:from>
    <xdr:ext cx="8651536" cy="405432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448425" y="2124075"/>
          <a:ext cx="8651536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SolverAdd  </a:t>
          </a:r>
          <a:r>
            <a:rPr lang="en-US" sz="2000" baseline="0">
              <a:solidFill>
                <a:schemeClr val="tx2"/>
              </a:solidFill>
            </a:rPr>
            <a:t>cellRef:=Range("Used")</a:t>
          </a:r>
          <a:r>
            <a:rPr lang="en-US" sz="2000"/>
            <a:t>, Relation:=1, </a:t>
          </a:r>
          <a:r>
            <a:rPr lang="en-US" sz="2000" baseline="0">
              <a:solidFill>
                <a:srgbClr val="00B050"/>
              </a:solidFill>
            </a:rPr>
            <a:t>formulaText:=Range("Available")</a:t>
          </a:r>
        </a:p>
      </xdr:txBody>
    </xdr:sp>
    <xdr:clientData/>
  </xdr:oneCellAnchor>
  <xdr:twoCellAnchor>
    <xdr:from>
      <xdr:col>9</xdr:col>
      <xdr:colOff>114300</xdr:colOff>
      <xdr:row>14</xdr:row>
      <xdr:rowOff>152400</xdr:rowOff>
    </xdr:from>
    <xdr:to>
      <xdr:col>11</xdr:col>
      <xdr:colOff>123825</xdr:colOff>
      <xdr:row>16</xdr:row>
      <xdr:rowOff>28575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 bwMode="auto">
        <a:xfrm flipH="1">
          <a:off x="5600700" y="2419350"/>
          <a:ext cx="1228725" cy="200025"/>
        </a:xfrm>
        <a:prstGeom prst="straightConnector1">
          <a:avLst/>
        </a:prstGeom>
        <a:solidFill>
          <a:srgbClr val="FFFFFF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12</xdr:col>
      <xdr:colOff>9525</xdr:colOff>
      <xdr:row>15</xdr:row>
      <xdr:rowOff>38100</xdr:rowOff>
    </xdr:from>
    <xdr:to>
      <xdr:col>14</xdr:col>
      <xdr:colOff>190501</xdr:colOff>
      <xdr:row>21</xdr:row>
      <xdr:rowOff>47625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 bwMode="auto">
        <a:xfrm flipH="1">
          <a:off x="7324725" y="2466975"/>
          <a:ext cx="1400176" cy="981075"/>
        </a:xfrm>
        <a:prstGeom prst="straightConnector1">
          <a:avLst/>
        </a:prstGeom>
        <a:solidFill>
          <a:srgbClr val="FFFFFF"/>
        </a:solidFill>
        <a:ln w="25400" cap="flat" cmpd="sng" algn="ctr">
          <a:solidFill>
            <a:schemeClr val="tx2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13</xdr:col>
      <xdr:colOff>590551</xdr:colOff>
      <xdr:row>15</xdr:row>
      <xdr:rowOff>100632</xdr:rowOff>
    </xdr:from>
    <xdr:to>
      <xdr:col>17</xdr:col>
      <xdr:colOff>410993</xdr:colOff>
      <xdr:row>21</xdr:row>
      <xdr:rowOff>95250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>
          <a:stCxn id="17" idx="2"/>
        </xdr:cNvCxnSpPr>
      </xdr:nvCxnSpPr>
      <xdr:spPr bwMode="auto">
        <a:xfrm flipH="1">
          <a:off x="8515351" y="2529507"/>
          <a:ext cx="2258842" cy="966168"/>
        </a:xfrm>
        <a:prstGeom prst="straightConnector1">
          <a:avLst/>
        </a:prstGeom>
        <a:solidFill>
          <a:srgbClr val="FFFFFF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15</xdr:col>
      <xdr:colOff>447675</xdr:colOff>
      <xdr:row>15</xdr:row>
      <xdr:rowOff>57150</xdr:rowOff>
    </xdr:from>
    <xdr:to>
      <xdr:col>20</xdr:col>
      <xdr:colOff>457200</xdr:colOff>
      <xdr:row>21</xdr:row>
      <xdr:rowOff>85725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 bwMode="auto">
        <a:xfrm flipH="1">
          <a:off x="9591675" y="2486025"/>
          <a:ext cx="3057525" cy="1000125"/>
        </a:xfrm>
        <a:prstGeom prst="straightConnector1">
          <a:avLst/>
        </a:prstGeom>
        <a:solidFill>
          <a:srgbClr val="FFFFFF"/>
        </a:solidFill>
        <a:ln w="25400" cap="flat" cmpd="sng" algn="ctr">
          <a:solidFill>
            <a:srgbClr val="00B05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oneCellAnchor>
    <xdr:from>
      <xdr:col>10</xdr:col>
      <xdr:colOff>400050</xdr:colOff>
      <xdr:row>26</xdr:row>
      <xdr:rowOff>76200</xdr:rowOff>
    </xdr:from>
    <xdr:ext cx="6356548" cy="405432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6496050" y="4286250"/>
          <a:ext cx="635654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SolverOptions  </a:t>
          </a:r>
          <a:r>
            <a:rPr lang="en-US" sz="2000" baseline="0">
              <a:solidFill>
                <a:schemeClr val="tx2"/>
              </a:solidFill>
            </a:rPr>
            <a:t>AssumeLinear:=True</a:t>
          </a:r>
          <a:r>
            <a:rPr lang="en-US" sz="2000"/>
            <a:t>, </a:t>
          </a:r>
          <a:r>
            <a:rPr lang="en-US" sz="2000" baseline="0">
              <a:solidFill>
                <a:srgbClr val="00B050"/>
              </a:solidFill>
            </a:rPr>
            <a:t>AssumeNonNeg:=True</a:t>
          </a:r>
        </a:p>
      </xdr:txBody>
    </xdr:sp>
    <xdr:clientData/>
  </xdr:oneCellAnchor>
  <xdr:twoCellAnchor>
    <xdr:from>
      <xdr:col>4</xdr:col>
      <xdr:colOff>257179</xdr:colOff>
      <xdr:row>29</xdr:row>
      <xdr:rowOff>38099</xdr:rowOff>
    </xdr:from>
    <xdr:to>
      <xdr:col>15</xdr:col>
      <xdr:colOff>104775</xdr:colOff>
      <xdr:row>30</xdr:row>
      <xdr:rowOff>19049</xdr:rowOff>
    </xdr:to>
    <xdr:cxnSp macro="">
      <xdr:nvCxnSpPr>
        <xdr:cNvPr id="27" name="Curved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 bwMode="auto">
        <a:xfrm rot="10800000" flipV="1">
          <a:off x="2695579" y="4733924"/>
          <a:ext cx="6553196" cy="142875"/>
        </a:xfrm>
        <a:prstGeom prst="curvedConnector3">
          <a:avLst>
            <a:gd name="adj1" fmla="val 0"/>
          </a:avLst>
        </a:prstGeom>
        <a:solidFill>
          <a:srgbClr val="FFFFFF"/>
        </a:solidFill>
        <a:ln w="25400" cap="flat" cmpd="sng" algn="ctr">
          <a:solidFill>
            <a:schemeClr val="tx2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66677</xdr:colOff>
      <xdr:row>26</xdr:row>
      <xdr:rowOff>47625</xdr:rowOff>
    </xdr:from>
    <xdr:to>
      <xdr:col>19</xdr:col>
      <xdr:colOff>47625</xdr:colOff>
      <xdr:row>27</xdr:row>
      <xdr:rowOff>133352</xdr:rowOff>
    </xdr:to>
    <xdr:cxnSp macro="">
      <xdr:nvCxnSpPr>
        <xdr:cNvPr id="33" name="Curved Connector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 bwMode="auto">
        <a:xfrm rot="10800000" flipV="1">
          <a:off x="676277" y="4257675"/>
          <a:ext cx="10953748" cy="247652"/>
        </a:xfrm>
        <a:prstGeom prst="curvedConnector3">
          <a:avLst>
            <a:gd name="adj1" fmla="val 50000"/>
          </a:avLst>
        </a:prstGeom>
        <a:solidFill>
          <a:srgbClr val="FFFFFF"/>
        </a:solidFill>
        <a:ln w="31750" cap="flat" cmpd="sng" algn="ctr">
          <a:solidFill>
            <a:srgbClr val="00B05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9</xdr:col>
      <xdr:colOff>85725</xdr:colOff>
      <xdr:row>27</xdr:row>
      <xdr:rowOff>116991</xdr:rowOff>
    </xdr:from>
    <xdr:to>
      <xdr:col>10</xdr:col>
      <xdr:colOff>400050</xdr:colOff>
      <xdr:row>29</xdr:row>
      <xdr:rowOff>19050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stCxn id="26" idx="1"/>
        </xdr:cNvCxnSpPr>
      </xdr:nvCxnSpPr>
      <xdr:spPr bwMode="auto">
        <a:xfrm flipH="1">
          <a:off x="5572125" y="4488966"/>
          <a:ext cx="923925" cy="225909"/>
        </a:xfrm>
        <a:prstGeom prst="straightConnector1">
          <a:avLst/>
        </a:prstGeom>
        <a:solidFill>
          <a:srgbClr val="FFFFFF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oneCellAnchor>
    <xdr:from>
      <xdr:col>10</xdr:col>
      <xdr:colOff>276225</xdr:colOff>
      <xdr:row>33</xdr:row>
      <xdr:rowOff>152400</xdr:rowOff>
    </xdr:from>
    <xdr:ext cx="3261277" cy="405432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6372225" y="5495925"/>
          <a:ext cx="326127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SolverSolve  </a:t>
          </a:r>
          <a:r>
            <a:rPr lang="en-US" sz="2000" baseline="0">
              <a:solidFill>
                <a:schemeClr val="tx2"/>
              </a:solidFill>
            </a:rPr>
            <a:t>UserFinish:=True</a:t>
          </a:r>
          <a:endParaRPr lang="en-US" sz="2000" baseline="0">
            <a:solidFill>
              <a:srgbClr val="00B050"/>
            </a:solidFill>
          </a:endParaRPr>
        </a:p>
      </xdr:txBody>
    </xdr:sp>
    <xdr:clientData/>
  </xdr:oneCellAnchor>
  <xdr:twoCellAnchor>
    <xdr:from>
      <xdr:col>6</xdr:col>
      <xdr:colOff>495300</xdr:colOff>
      <xdr:row>35</xdr:row>
      <xdr:rowOff>69366</xdr:rowOff>
    </xdr:from>
    <xdr:to>
      <xdr:col>10</xdr:col>
      <xdr:colOff>314325</xdr:colOff>
      <xdr:row>38</xdr:row>
      <xdr:rowOff>38100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 bwMode="auto">
        <a:xfrm flipH="1">
          <a:off x="4152900" y="5736741"/>
          <a:ext cx="2257425" cy="454509"/>
        </a:xfrm>
        <a:prstGeom prst="straightConnector1">
          <a:avLst/>
        </a:prstGeom>
        <a:solidFill>
          <a:srgbClr val="FFFFFF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 editAs="oneCell">
    <xdr:from>
      <xdr:col>16</xdr:col>
      <xdr:colOff>542925</xdr:colOff>
      <xdr:row>28</xdr:row>
      <xdr:rowOff>123825</xdr:rowOff>
    </xdr:from>
    <xdr:to>
      <xdr:col>24</xdr:col>
      <xdr:colOff>180411</xdr:colOff>
      <xdr:row>50</xdr:row>
      <xdr:rowOff>18618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96525" y="4657725"/>
          <a:ext cx="4514286" cy="3457143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36</xdr:row>
      <xdr:rowOff>9525</xdr:rowOff>
    </xdr:from>
    <xdr:to>
      <xdr:col>17</xdr:col>
      <xdr:colOff>533400</xdr:colOff>
      <xdr:row>41</xdr:row>
      <xdr:rowOff>114300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 bwMode="auto">
        <a:xfrm>
          <a:off x="8724900" y="5838825"/>
          <a:ext cx="2171700" cy="914400"/>
        </a:xfrm>
        <a:prstGeom prst="straightConnector1">
          <a:avLst/>
        </a:prstGeom>
        <a:solidFill>
          <a:srgbClr val="FFFFFF"/>
        </a:solidFill>
        <a:ln w="25400" cap="flat" cmpd="sng" algn="ctr">
          <a:solidFill>
            <a:schemeClr val="tx2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19050</xdr:rowOff>
        </xdr:from>
        <xdr:to>
          <xdr:col>10</xdr:col>
          <xdr:colOff>590550</xdr:colOff>
          <xdr:row>9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your own scenario!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165100</xdr:rowOff>
        </xdr:from>
        <xdr:to>
          <xdr:col>10</xdr:col>
          <xdr:colOff>565150</xdr:colOff>
          <xdr:row>4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Worksheet and solve from the worksheet Scenarios!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F10"/>
  <sheetViews>
    <sheetView topLeftCell="A18" zoomScale="70" zoomScaleNormal="70" workbookViewId="0">
      <selection activeCell="K66" sqref="K66"/>
    </sheetView>
  </sheetViews>
  <sheetFormatPr defaultRowHeight="12.5" x14ac:dyDescent="0.25"/>
  <sheetData>
    <row r="5" spans="2:6" x14ac:dyDescent="0.25">
      <c r="B5">
        <v>0</v>
      </c>
      <c r="C5">
        <v>0</v>
      </c>
      <c r="D5">
        <v>0</v>
      </c>
      <c r="E5">
        <v>0</v>
      </c>
      <c r="F5">
        <v>0</v>
      </c>
    </row>
    <row r="6" spans="2:6" x14ac:dyDescent="0.25">
      <c r="B6">
        <v>0</v>
      </c>
      <c r="C6">
        <v>0</v>
      </c>
      <c r="D6">
        <v>0</v>
      </c>
      <c r="E6">
        <v>0</v>
      </c>
      <c r="F6">
        <v>0</v>
      </c>
    </row>
    <row r="7" spans="2:6" x14ac:dyDescent="0.25">
      <c r="B7">
        <v>0</v>
      </c>
      <c r="C7">
        <v>0</v>
      </c>
      <c r="D7">
        <v>0</v>
      </c>
      <c r="E7">
        <v>0</v>
      </c>
      <c r="F7">
        <v>0</v>
      </c>
    </row>
    <row r="8" spans="2:6" x14ac:dyDescent="0.25">
      <c r="B8">
        <v>0</v>
      </c>
      <c r="C8">
        <v>0</v>
      </c>
      <c r="D8">
        <v>0</v>
      </c>
    </row>
    <row r="9" spans="2:6" x14ac:dyDescent="0.25">
      <c r="B9">
        <v>0</v>
      </c>
      <c r="C9">
        <v>0</v>
      </c>
      <c r="D9">
        <v>0</v>
      </c>
    </row>
    <row r="10" spans="2:6" x14ac:dyDescent="0.25">
      <c r="B10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Model">
    <pageSetUpPr fitToPage="1"/>
  </sheetPr>
  <dimension ref="A1:N20"/>
  <sheetViews>
    <sheetView tabSelected="1" workbookViewId="0">
      <selection activeCell="I22" sqref="I22"/>
    </sheetView>
  </sheetViews>
  <sheetFormatPr defaultColWidth="9.1796875" defaultRowHeight="14.5" x14ac:dyDescent="0.35"/>
  <cols>
    <col min="1" max="1" width="12.54296875" style="2" customWidth="1"/>
    <col min="2" max="2" width="14.453125" style="2" customWidth="1"/>
    <col min="3" max="6" width="9.1796875" style="2"/>
    <col min="7" max="7" width="12.54296875" style="2" customWidth="1"/>
    <col min="8" max="8" width="3.81640625" style="2" customWidth="1"/>
    <col min="9" max="9" width="12.7265625" style="2" customWidth="1"/>
    <col min="10" max="12" width="9.1796875" style="2"/>
    <col min="13" max="13" width="13.7265625" style="2" bestFit="1" customWidth="1"/>
    <col min="14" max="16384" width="9.1796875" style="2"/>
  </cols>
  <sheetData>
    <row r="1" spans="1:14" x14ac:dyDescent="0.35">
      <c r="A1" s="1" t="s">
        <v>4</v>
      </c>
      <c r="I1" s="3"/>
    </row>
    <row r="3" spans="1:14" x14ac:dyDescent="0.35">
      <c r="A3" s="1" t="s">
        <v>5</v>
      </c>
      <c r="M3" s="3" t="s">
        <v>6</v>
      </c>
      <c r="N3" s="3" t="s">
        <v>7</v>
      </c>
    </row>
    <row r="4" spans="1:14" x14ac:dyDescent="0.35">
      <c r="C4" s="4" t="s">
        <v>8</v>
      </c>
      <c r="D4" s="5"/>
      <c r="E4" s="5"/>
      <c r="F4" s="5"/>
      <c r="M4" s="3"/>
      <c r="N4" s="3" t="s">
        <v>9</v>
      </c>
    </row>
    <row r="5" spans="1:14" x14ac:dyDescent="0.35">
      <c r="C5" s="6" t="s">
        <v>10</v>
      </c>
      <c r="D5" s="6" t="s">
        <v>11</v>
      </c>
      <c r="E5" s="6" t="s">
        <v>12</v>
      </c>
      <c r="F5" s="6" t="s">
        <v>13</v>
      </c>
      <c r="M5" s="3"/>
      <c r="N5" s="3" t="s">
        <v>1</v>
      </c>
    </row>
    <row r="6" spans="1:14" x14ac:dyDescent="0.35">
      <c r="A6" s="7" t="s">
        <v>14</v>
      </c>
      <c r="B6" s="2" t="s">
        <v>15</v>
      </c>
      <c r="C6" s="8">
        <v>8</v>
      </c>
      <c r="D6" s="8">
        <v>6</v>
      </c>
      <c r="E6" s="8">
        <v>10</v>
      </c>
      <c r="F6" s="8">
        <v>9</v>
      </c>
      <c r="M6" s="3"/>
      <c r="N6" s="3" t="s">
        <v>16</v>
      </c>
    </row>
    <row r="7" spans="1:14" x14ac:dyDescent="0.35">
      <c r="B7" s="2" t="s">
        <v>17</v>
      </c>
      <c r="C7" s="8">
        <v>9</v>
      </c>
      <c r="D7" s="8">
        <v>12</v>
      </c>
      <c r="E7" s="8">
        <v>13</v>
      </c>
      <c r="F7" s="8">
        <v>7</v>
      </c>
      <c r="M7" s="3"/>
      <c r="N7" s="3" t="s">
        <v>2</v>
      </c>
    </row>
    <row r="8" spans="1:14" x14ac:dyDescent="0.35">
      <c r="B8" s="2" t="s">
        <v>18</v>
      </c>
      <c r="C8" s="8">
        <v>14</v>
      </c>
      <c r="D8" s="8">
        <v>9</v>
      </c>
      <c r="E8" s="8">
        <v>16</v>
      </c>
      <c r="F8" s="8">
        <v>5</v>
      </c>
      <c r="M8" s="3"/>
      <c r="N8" s="3" t="s">
        <v>19</v>
      </c>
    </row>
    <row r="9" spans="1:14" x14ac:dyDescent="0.35">
      <c r="M9" s="3"/>
      <c r="N9" s="3" t="s">
        <v>20</v>
      </c>
    </row>
    <row r="10" spans="1:14" x14ac:dyDescent="0.35">
      <c r="A10" s="1" t="s">
        <v>21</v>
      </c>
    </row>
    <row r="11" spans="1:14" x14ac:dyDescent="0.35">
      <c r="C11" s="4" t="s">
        <v>8</v>
      </c>
      <c r="D11" s="5"/>
      <c r="E11" s="5"/>
      <c r="F11" s="5"/>
    </row>
    <row r="12" spans="1:14" x14ac:dyDescent="0.35">
      <c r="C12" s="6" t="s">
        <v>10</v>
      </c>
      <c r="D12" s="6" t="s">
        <v>11</v>
      </c>
      <c r="E12" s="6" t="s">
        <v>12</v>
      </c>
      <c r="F12" s="6" t="s">
        <v>13</v>
      </c>
      <c r="G12" s="6" t="s">
        <v>9</v>
      </c>
      <c r="H12" s="6"/>
      <c r="I12" s="6" t="s">
        <v>1</v>
      </c>
      <c r="K12" s="6"/>
    </row>
    <row r="13" spans="1:14" x14ac:dyDescent="0.35">
      <c r="A13" s="7" t="s">
        <v>14</v>
      </c>
      <c r="B13" s="2" t="s">
        <v>15</v>
      </c>
      <c r="C13" s="19">
        <v>0</v>
      </c>
      <c r="D13" s="19">
        <v>1</v>
      </c>
      <c r="E13" s="19">
        <v>0</v>
      </c>
      <c r="F13" s="19">
        <v>0</v>
      </c>
      <c r="G13" s="17">
        <f>SUM(C13:F13)</f>
        <v>1</v>
      </c>
      <c r="H13" s="9" t="s">
        <v>0</v>
      </c>
      <c r="I13" s="10">
        <v>1</v>
      </c>
    </row>
    <row r="14" spans="1:14" x14ac:dyDescent="0.35">
      <c r="B14" s="2" t="s">
        <v>17</v>
      </c>
      <c r="C14" s="19">
        <v>1</v>
      </c>
      <c r="D14" s="19">
        <v>0</v>
      </c>
      <c r="E14" s="19">
        <v>1</v>
      </c>
      <c r="F14" s="19">
        <v>0</v>
      </c>
      <c r="G14" s="17">
        <f>SUM(C14:F14)</f>
        <v>2</v>
      </c>
      <c r="H14" s="9" t="s">
        <v>0</v>
      </c>
      <c r="I14" s="10">
        <v>2</v>
      </c>
    </row>
    <row r="15" spans="1:14" x14ac:dyDescent="0.35">
      <c r="B15" s="2" t="s">
        <v>18</v>
      </c>
      <c r="C15" s="19">
        <v>0</v>
      </c>
      <c r="D15" s="19">
        <v>0</v>
      </c>
      <c r="E15" s="19">
        <v>0</v>
      </c>
      <c r="F15" s="19">
        <v>1</v>
      </c>
      <c r="G15" s="17">
        <f>SUM(C15:F15)</f>
        <v>1</v>
      </c>
      <c r="H15" s="9" t="s">
        <v>0</v>
      </c>
      <c r="I15" s="10">
        <v>3</v>
      </c>
    </row>
    <row r="16" spans="1:14" x14ac:dyDescent="0.35">
      <c r="B16" s="2" t="s">
        <v>16</v>
      </c>
      <c r="C16" s="17">
        <f>SUM(C13:C15)</f>
        <v>1</v>
      </c>
      <c r="D16" s="17">
        <f t="shared" ref="D16:F16" si="0">SUM(D13:D15)</f>
        <v>1</v>
      </c>
      <c r="E16" s="17">
        <f t="shared" si="0"/>
        <v>1</v>
      </c>
      <c r="F16" s="17">
        <f t="shared" si="0"/>
        <v>1</v>
      </c>
    </row>
    <row r="17" spans="1:11" x14ac:dyDescent="0.35">
      <c r="C17" s="11" t="s">
        <v>3</v>
      </c>
      <c r="D17" s="11" t="s">
        <v>3</v>
      </c>
      <c r="E17" s="11" t="s">
        <v>3</v>
      </c>
      <c r="F17" s="11" t="s">
        <v>3</v>
      </c>
      <c r="K17" s="6"/>
    </row>
    <row r="18" spans="1:11" x14ac:dyDescent="0.35">
      <c r="B18" s="2" t="s">
        <v>2</v>
      </c>
      <c r="C18" s="10">
        <v>1</v>
      </c>
      <c r="D18" s="10">
        <v>1</v>
      </c>
      <c r="E18" s="10">
        <v>1</v>
      </c>
      <c r="F18" s="10">
        <v>1</v>
      </c>
      <c r="K18" s="12"/>
    </row>
    <row r="20" spans="1:11" x14ac:dyDescent="0.35">
      <c r="A20" s="13" t="s">
        <v>22</v>
      </c>
      <c r="B20" s="18">
        <f>SUMPRODUCT(C6:F8,C13:F15)</f>
        <v>33</v>
      </c>
    </row>
  </sheetData>
  <printOptions horizontalCentered="1" verticalCentered="1" headings="1" gridLines="1" gridLinesSet="0"/>
  <pageMargins left="0.75" right="0.75" top="1" bottom="1" header="0.5" footer="0.5"/>
  <pageSetup orientation="portrait" horizontalDpi="300" verticalDpi="300" r:id="rId1"/>
  <headerFooter alignWithMargins="0">
    <oddFooter>&amp;C&amp;"Arial,Bold"Exhibit 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Scenarios"/>
  <dimension ref="A1:F13"/>
  <sheetViews>
    <sheetView workbookViewId="0">
      <selection activeCell="F17" sqref="F17"/>
    </sheetView>
  </sheetViews>
  <sheetFormatPr defaultColWidth="8.81640625" defaultRowHeight="14.5" x14ac:dyDescent="0.35"/>
  <cols>
    <col min="1" max="1" width="14.26953125" style="2" customWidth="1"/>
    <col min="2" max="2" width="10.7265625" style="2" customWidth="1"/>
    <col min="3" max="6" width="9.81640625" style="2" customWidth="1"/>
    <col min="7" max="16384" width="8.81640625" style="2"/>
  </cols>
  <sheetData>
    <row r="1" spans="1:6" x14ac:dyDescent="0.35">
      <c r="A1" s="1" t="s">
        <v>23</v>
      </c>
    </row>
    <row r="3" spans="1:6" x14ac:dyDescent="0.35">
      <c r="B3" s="6" t="s">
        <v>24</v>
      </c>
      <c r="C3" s="6" t="s">
        <v>25</v>
      </c>
      <c r="D3" s="6" t="s">
        <v>26</v>
      </c>
      <c r="E3" s="6" t="s">
        <v>27</v>
      </c>
      <c r="F3" s="6" t="s">
        <v>28</v>
      </c>
    </row>
    <row r="4" spans="1:6" x14ac:dyDescent="0.35">
      <c r="A4" s="14" t="s">
        <v>1</v>
      </c>
    </row>
    <row r="5" spans="1:6" x14ac:dyDescent="0.35">
      <c r="A5" s="2" t="s">
        <v>15</v>
      </c>
      <c r="B5" s="2">
        <v>35</v>
      </c>
      <c r="C5" s="2">
        <v>65</v>
      </c>
      <c r="D5" s="2">
        <v>45</v>
      </c>
      <c r="E5" s="2">
        <v>50</v>
      </c>
      <c r="F5" s="2">
        <v>70</v>
      </c>
    </row>
    <row r="6" spans="1:6" x14ac:dyDescent="0.35">
      <c r="A6" s="2" t="s">
        <v>17</v>
      </c>
      <c r="B6" s="2">
        <v>50</v>
      </c>
      <c r="C6" s="2">
        <v>60</v>
      </c>
      <c r="D6" s="2">
        <v>50</v>
      </c>
      <c r="E6" s="2">
        <v>70</v>
      </c>
      <c r="F6" s="2">
        <v>75</v>
      </c>
    </row>
    <row r="7" spans="1:6" x14ac:dyDescent="0.35">
      <c r="A7" s="2" t="s">
        <v>18</v>
      </c>
      <c r="B7" s="2">
        <v>40</v>
      </c>
      <c r="C7" s="2">
        <v>70</v>
      </c>
      <c r="D7" s="2">
        <v>70</v>
      </c>
      <c r="E7" s="2">
        <v>60</v>
      </c>
      <c r="F7" s="2">
        <v>45</v>
      </c>
    </row>
    <row r="9" spans="1:6" x14ac:dyDescent="0.35">
      <c r="A9" s="14" t="s">
        <v>2</v>
      </c>
    </row>
    <row r="10" spans="1:6" x14ac:dyDescent="0.35">
      <c r="A10" s="2" t="s">
        <v>10</v>
      </c>
      <c r="B10" s="2">
        <v>45</v>
      </c>
      <c r="C10" s="2">
        <v>60</v>
      </c>
      <c r="D10" s="2">
        <v>40</v>
      </c>
      <c r="E10" s="2">
        <v>25</v>
      </c>
      <c r="F10" s="2">
        <v>30</v>
      </c>
    </row>
    <row r="11" spans="1:6" x14ac:dyDescent="0.35">
      <c r="A11" s="2" t="s">
        <v>11</v>
      </c>
      <c r="B11" s="2">
        <v>20</v>
      </c>
      <c r="C11" s="2">
        <v>40</v>
      </c>
      <c r="D11" s="2">
        <v>30</v>
      </c>
      <c r="E11" s="2">
        <v>35</v>
      </c>
      <c r="F11" s="2">
        <v>55</v>
      </c>
    </row>
    <row r="12" spans="1:6" x14ac:dyDescent="0.35">
      <c r="A12" s="2" t="s">
        <v>12</v>
      </c>
      <c r="B12" s="2">
        <v>30</v>
      </c>
      <c r="C12" s="2">
        <v>25</v>
      </c>
      <c r="D12" s="2">
        <v>20</v>
      </c>
      <c r="E12" s="2">
        <v>40</v>
      </c>
      <c r="F12" s="2">
        <v>40</v>
      </c>
    </row>
    <row r="13" spans="1:6" x14ac:dyDescent="0.35">
      <c r="A13" s="2" t="s">
        <v>13</v>
      </c>
      <c r="B13" s="2">
        <v>30</v>
      </c>
      <c r="C13" s="2">
        <v>35</v>
      </c>
      <c r="D13" s="2">
        <v>50</v>
      </c>
      <c r="E13" s="2">
        <v>35</v>
      </c>
      <c r="F13" s="2">
        <v>60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Results"/>
  <dimension ref="A1:G37"/>
  <sheetViews>
    <sheetView topLeftCell="A13" workbookViewId="0">
      <selection activeCell="M36" sqref="M36"/>
    </sheetView>
  </sheetViews>
  <sheetFormatPr defaultColWidth="8.81640625" defaultRowHeight="14.5" x14ac:dyDescent="0.35"/>
  <cols>
    <col min="1" max="16384" width="8.81640625" style="2"/>
  </cols>
  <sheetData>
    <row r="1" spans="1:7" x14ac:dyDescent="0.35">
      <c r="A1" s="1" t="s">
        <v>29</v>
      </c>
    </row>
    <row r="3" spans="1:7" x14ac:dyDescent="0.35">
      <c r="A3" s="2" t="s">
        <v>24</v>
      </c>
    </row>
    <row r="4" spans="1:7" x14ac:dyDescent="0.35">
      <c r="A4" s="2" t="s">
        <v>21</v>
      </c>
      <c r="F4" s="2" t="s">
        <v>30</v>
      </c>
    </row>
    <row r="5" spans="1:7" x14ac:dyDescent="0.35">
      <c r="A5" s="2">
        <v>0</v>
      </c>
      <c r="B5" s="2">
        <v>10</v>
      </c>
      <c r="C5" s="2">
        <v>25</v>
      </c>
      <c r="D5" s="2">
        <v>0</v>
      </c>
      <c r="F5" s="15">
        <v>1020</v>
      </c>
      <c r="G5" s="16"/>
    </row>
    <row r="6" spans="1:7" x14ac:dyDescent="0.35">
      <c r="A6" s="2">
        <v>45</v>
      </c>
      <c r="B6" s="2">
        <v>0</v>
      </c>
      <c r="C6" s="2">
        <v>5</v>
      </c>
      <c r="D6" s="2">
        <v>0</v>
      </c>
    </row>
    <row r="7" spans="1:7" x14ac:dyDescent="0.35">
      <c r="A7" s="2">
        <v>0</v>
      </c>
      <c r="B7" s="2">
        <v>10</v>
      </c>
      <c r="C7" s="2">
        <v>0</v>
      </c>
      <c r="D7" s="2">
        <v>30</v>
      </c>
    </row>
    <row r="9" spans="1:7" x14ac:dyDescent="0.35">
      <c r="A9" s="2" t="s">
        <v>25</v>
      </c>
    </row>
    <row r="10" spans="1:7" x14ac:dyDescent="0.35">
      <c r="A10" s="2" t="s">
        <v>21</v>
      </c>
      <c r="F10" s="2" t="s">
        <v>30</v>
      </c>
    </row>
    <row r="11" spans="1:7" x14ac:dyDescent="0.35">
      <c r="A11" s="2">
        <v>0</v>
      </c>
      <c r="B11" s="2">
        <v>40</v>
      </c>
      <c r="C11" s="2">
        <v>25</v>
      </c>
      <c r="D11" s="2">
        <v>0</v>
      </c>
      <c r="F11" s="15">
        <v>1205</v>
      </c>
    </row>
    <row r="12" spans="1:7" x14ac:dyDescent="0.35">
      <c r="A12" s="2">
        <v>60</v>
      </c>
      <c r="B12" s="2">
        <v>0</v>
      </c>
      <c r="C12" s="2">
        <v>0</v>
      </c>
      <c r="D12" s="2">
        <v>0</v>
      </c>
    </row>
    <row r="13" spans="1:7" x14ac:dyDescent="0.35">
      <c r="A13" s="2">
        <v>0</v>
      </c>
      <c r="B13" s="2">
        <v>0</v>
      </c>
      <c r="C13" s="2">
        <v>0</v>
      </c>
      <c r="D13" s="2">
        <v>35</v>
      </c>
    </row>
    <row r="15" spans="1:7" x14ac:dyDescent="0.35">
      <c r="A15" s="2" t="s">
        <v>26</v>
      </c>
    </row>
    <row r="16" spans="1:7" x14ac:dyDescent="0.35">
      <c r="A16" s="2" t="s">
        <v>21</v>
      </c>
      <c r="F16" s="2" t="s">
        <v>30</v>
      </c>
    </row>
    <row r="17" spans="1:6" x14ac:dyDescent="0.35">
      <c r="A17" s="2">
        <v>0</v>
      </c>
      <c r="B17" s="2">
        <v>30</v>
      </c>
      <c r="C17" s="2">
        <v>15</v>
      </c>
      <c r="D17" s="2">
        <v>0</v>
      </c>
      <c r="F17" s="15">
        <v>1005</v>
      </c>
    </row>
    <row r="18" spans="1:6" x14ac:dyDescent="0.35">
      <c r="A18" s="2">
        <v>40</v>
      </c>
      <c r="B18" s="2">
        <v>0</v>
      </c>
      <c r="C18" s="2">
        <v>5</v>
      </c>
      <c r="D18" s="2">
        <v>0</v>
      </c>
    </row>
    <row r="19" spans="1:6" x14ac:dyDescent="0.35">
      <c r="A19" s="2">
        <v>0</v>
      </c>
      <c r="B19" s="2">
        <v>0</v>
      </c>
      <c r="C19" s="2">
        <v>0</v>
      </c>
      <c r="D19" s="2">
        <v>50</v>
      </c>
    </row>
    <row r="21" spans="1:6" x14ac:dyDescent="0.35">
      <c r="A21" s="2" t="s">
        <v>27</v>
      </c>
    </row>
    <row r="22" spans="1:6" x14ac:dyDescent="0.35">
      <c r="A22" s="2" t="s">
        <v>21</v>
      </c>
      <c r="F22" s="2" t="s">
        <v>30</v>
      </c>
    </row>
    <row r="23" spans="1:6" x14ac:dyDescent="0.35">
      <c r="A23" s="2">
        <v>0</v>
      </c>
      <c r="B23" s="2">
        <v>35</v>
      </c>
      <c r="C23" s="2">
        <v>15</v>
      </c>
      <c r="D23" s="2">
        <v>0</v>
      </c>
      <c r="F23" s="15">
        <v>1085</v>
      </c>
    </row>
    <row r="24" spans="1:6" x14ac:dyDescent="0.35">
      <c r="A24" s="2">
        <v>25</v>
      </c>
      <c r="B24" s="2">
        <v>0</v>
      </c>
      <c r="C24" s="2">
        <v>25</v>
      </c>
      <c r="D24" s="2">
        <v>0</v>
      </c>
    </row>
    <row r="25" spans="1:6" x14ac:dyDescent="0.35">
      <c r="A25" s="2">
        <v>0</v>
      </c>
      <c r="B25" s="2">
        <v>0</v>
      </c>
      <c r="C25" s="2">
        <v>0</v>
      </c>
      <c r="D25" s="2">
        <v>35</v>
      </c>
    </row>
    <row r="27" spans="1:6" x14ac:dyDescent="0.35">
      <c r="A27" s="2" t="s">
        <v>28</v>
      </c>
    </row>
    <row r="28" spans="1:6" x14ac:dyDescent="0.35">
      <c r="A28" s="2" t="s">
        <v>21</v>
      </c>
      <c r="F28" s="2" t="s">
        <v>30</v>
      </c>
    </row>
    <row r="29" spans="1:6" x14ac:dyDescent="0.35">
      <c r="A29" s="2">
        <v>0</v>
      </c>
      <c r="B29" s="2">
        <v>55</v>
      </c>
      <c r="C29" s="2">
        <v>15</v>
      </c>
      <c r="D29" s="2">
        <v>0</v>
      </c>
      <c r="F29" s="15">
        <v>1405</v>
      </c>
    </row>
    <row r="30" spans="1:6" x14ac:dyDescent="0.35">
      <c r="A30" s="2">
        <v>30</v>
      </c>
      <c r="B30" s="2">
        <v>0</v>
      </c>
      <c r="C30" s="2">
        <v>25</v>
      </c>
      <c r="D30" s="2">
        <v>15</v>
      </c>
    </row>
    <row r="31" spans="1:6" x14ac:dyDescent="0.35">
      <c r="A31" s="2">
        <v>0</v>
      </c>
      <c r="B31" s="2">
        <v>0</v>
      </c>
      <c r="C31" s="2">
        <v>0</v>
      </c>
      <c r="D31" s="2">
        <v>45</v>
      </c>
    </row>
    <row r="33" spans="1:6" x14ac:dyDescent="0.35">
      <c r="A33" s="2" t="s">
        <v>31</v>
      </c>
    </row>
    <row r="34" spans="1:6" x14ac:dyDescent="0.35">
      <c r="A34" s="2" t="s">
        <v>21</v>
      </c>
      <c r="F34" s="2" t="s">
        <v>30</v>
      </c>
    </row>
    <row r="35" spans="1:6" x14ac:dyDescent="0.35">
      <c r="A35" s="2">
        <v>0</v>
      </c>
      <c r="B35" s="2">
        <v>1</v>
      </c>
      <c r="C35" s="2">
        <v>0</v>
      </c>
      <c r="D35" s="2">
        <v>0</v>
      </c>
      <c r="F35" s="20">
        <v>33</v>
      </c>
    </row>
    <row r="36" spans="1:6" x14ac:dyDescent="0.35">
      <c r="A36" s="2">
        <v>1</v>
      </c>
      <c r="B36" s="2">
        <v>0</v>
      </c>
      <c r="C36" s="2">
        <v>1</v>
      </c>
      <c r="D36" s="2">
        <v>0</v>
      </c>
    </row>
    <row r="37" spans="1:6" x14ac:dyDescent="0.35">
      <c r="A37" s="2">
        <v>0</v>
      </c>
      <c r="B37" s="2">
        <v>0</v>
      </c>
      <c r="C37" s="2">
        <v>0</v>
      </c>
      <c r="D37" s="2">
        <v>1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Scenario">
                <anchor moveWithCells="1" sizeWithCells="1">
                  <from>
                    <xdr:col>7</xdr:col>
                    <xdr:colOff>0</xdr:colOff>
                    <xdr:row>6</xdr:row>
                    <xdr:rowOff>19050</xdr:rowOff>
                  </from>
                  <to>
                    <xdr:col>10</xdr:col>
                    <xdr:colOff>590550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cenarios">
                <anchor moveWithCells="1" sizeWithCells="1">
                  <from>
                    <xdr:col>6</xdr:col>
                    <xdr:colOff>590550</xdr:colOff>
                    <xdr:row>1</xdr:row>
                    <xdr:rowOff>165100</xdr:rowOff>
                  </from>
                  <to>
                    <xdr:col>10</xdr:col>
                    <xdr:colOff>565150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Solver-VBA</vt:lpstr>
      <vt:lpstr>EX_4Model</vt:lpstr>
      <vt:lpstr>Scenarios</vt:lpstr>
      <vt:lpstr>Results</vt:lpstr>
      <vt:lpstr>Demand</vt:lpstr>
      <vt:lpstr>Shipped</vt:lpstr>
      <vt:lpstr>ShippedFrom</vt:lpstr>
      <vt:lpstr>ShippedTo</vt:lpstr>
      <vt:lpstr>Supply</vt:lpstr>
      <vt:lpstr>TotalCost</vt:lpstr>
      <vt:lpstr>UnitCost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Parada, Hector</cp:lastModifiedBy>
  <cp:lastPrinted>1998-01-25T16:32:41Z</cp:lastPrinted>
  <dcterms:created xsi:type="dcterms:W3CDTF">1997-11-12T14:36:37Z</dcterms:created>
  <dcterms:modified xsi:type="dcterms:W3CDTF">2026-05-13T20:57:35Z</dcterms:modified>
</cp:coreProperties>
</file>